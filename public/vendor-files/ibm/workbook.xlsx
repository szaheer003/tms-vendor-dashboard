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22"/>
  <workbookPr/>
  <mc:AlternateContent xmlns:mc="http://schemas.openxmlformats.org/markup-compatibility/2006">
    <mc:Choice Requires="x15">
      <x15ac:absPath xmlns:x15ac="http://schemas.microsoft.com/office/spreadsheetml/2010/11/ac" url="/Users/ashishthakur/Documents/LCP Portfolio/1 Global Payments/Contact Center/TIS CC RFP/Final Response/"/>
    </mc:Choice>
  </mc:AlternateContent>
  <xr:revisionPtr revIDLastSave="0" documentId="8_{B0D4F27E-9B2F-234C-8488-566380BF7B33}" xr6:coauthVersionLast="47" xr6:coauthVersionMax="47" xr10:uidLastSave="{00000000-0000-0000-0000-000000000000}"/>
  <bookViews>
    <workbookView xWindow="0" yWindow="600" windowWidth="28800" windowHeight="17400" tabRatio="907" activeTab="2" xr2:uid="{00000000-000D-0000-FFFF-FFFF00000000}"/>
  </bookViews>
  <sheets>
    <sheet name="1.0  Table of Contents" sheetId="1" r:id="rId1"/>
    <sheet name="2.0  Industry Experience" sheetId="2" r:id="rId2"/>
    <sheet name="3.0  Relevant Experience" sheetId="3" r:id="rId3"/>
    <sheet name="4.0  Workforce &amp; Delivery" sheetId="4" r:id="rId4"/>
    <sheet name="5.0  Technology Solution" sheetId="5" r:id="rId5"/>
    <sheet name="6.0  Pricing" sheetId="6" r:id="rId6"/>
    <sheet name="7.0  Client Migration" sheetId="7" r:id="rId7"/>
    <sheet name="8.0  Regulatory Compliance" sheetId="8" r:id="rId8"/>
    <sheet name="9.0 Client EfficiencyAssumption" sheetId="11" r:id="rId9"/>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76" i="5" l="1"/>
  <c r="C70" i="5"/>
  <c r="C69" i="5"/>
  <c r="V73" i="6"/>
  <c r="U73" i="6"/>
  <c r="T73" i="6"/>
  <c r="S73" i="6"/>
  <c r="R73" i="6"/>
  <c r="Q73" i="6"/>
  <c r="P73" i="6"/>
  <c r="O73" i="6"/>
  <c r="N73" i="6"/>
  <c r="M73" i="6"/>
  <c r="L73" i="6"/>
  <c r="K73" i="6"/>
  <c r="J73" i="6"/>
  <c r="I73" i="6"/>
  <c r="H73" i="6"/>
  <c r="G73" i="6"/>
  <c r="F73" i="6"/>
  <c r="E73" i="6"/>
  <c r="D73" i="6"/>
  <c r="V72" i="6"/>
  <c r="U72" i="6"/>
  <c r="T72" i="6"/>
  <c r="S72" i="6"/>
  <c r="R72" i="6"/>
  <c r="Q72" i="6"/>
  <c r="P72" i="6"/>
  <c r="O72" i="6"/>
  <c r="N72" i="6"/>
  <c r="M72" i="6"/>
  <c r="L72" i="6"/>
  <c r="K72" i="6"/>
  <c r="J72" i="6"/>
  <c r="I72" i="6"/>
  <c r="H72" i="6"/>
  <c r="G72" i="6"/>
  <c r="F72" i="6"/>
  <c r="E72" i="6"/>
  <c r="D72" i="6"/>
  <c r="V71" i="6"/>
  <c r="U71" i="6"/>
  <c r="T71" i="6"/>
  <c r="S71" i="6"/>
  <c r="R71" i="6"/>
  <c r="Q71" i="6"/>
  <c r="P71" i="6"/>
  <c r="O71" i="6"/>
  <c r="N71" i="6"/>
  <c r="M71" i="6"/>
  <c r="L71" i="6"/>
  <c r="K71" i="6"/>
  <c r="J71" i="6"/>
  <c r="I71" i="6"/>
  <c r="H71" i="6"/>
  <c r="G71" i="6"/>
  <c r="F71" i="6"/>
  <c r="E71" i="6"/>
  <c r="D71" i="6"/>
  <c r="V70" i="6"/>
  <c r="U70" i="6"/>
  <c r="T70" i="6"/>
  <c r="S70" i="6"/>
  <c r="R70" i="6"/>
  <c r="Q70" i="6"/>
  <c r="P70" i="6"/>
  <c r="O70" i="6"/>
  <c r="N70" i="6"/>
  <c r="M70" i="6"/>
  <c r="L70" i="6"/>
  <c r="K70" i="6"/>
  <c r="J70" i="6"/>
  <c r="I70" i="6"/>
  <c r="H70" i="6"/>
  <c r="G70" i="6"/>
  <c r="F70" i="6"/>
  <c r="E70" i="6"/>
  <c r="D70" i="6"/>
  <c r="V69" i="6"/>
  <c r="U69" i="6"/>
  <c r="T69" i="6"/>
  <c r="S69" i="6"/>
  <c r="R69" i="6"/>
  <c r="Q69" i="6"/>
  <c r="P69" i="6"/>
  <c r="O69" i="6"/>
  <c r="N69" i="6"/>
  <c r="M69" i="6"/>
  <c r="L69" i="6"/>
  <c r="K69" i="6"/>
  <c r="J69" i="6"/>
  <c r="I69" i="6"/>
  <c r="H69" i="6"/>
  <c r="G69" i="6"/>
  <c r="F69" i="6"/>
  <c r="E69" i="6"/>
  <c r="D69" i="6"/>
  <c r="C73" i="6"/>
  <c r="C72" i="6"/>
  <c r="C71" i="6"/>
  <c r="C70" i="6"/>
  <c r="C69" i="6"/>
  <c r="K56" i="5"/>
  <c r="K55" i="5"/>
  <c r="K54" i="5"/>
  <c r="K53" i="5"/>
  <c r="K52" i="5"/>
  <c r="K51" i="5"/>
</calcChain>
</file>

<file path=xl/sharedStrings.xml><?xml version="1.0" encoding="utf-8"?>
<sst xmlns="http://schemas.openxmlformats.org/spreadsheetml/2006/main" count="1504" uniqueCount="811">
  <si>
    <t>Response Workbook</t>
  </si>
  <si>
    <t>TMS Managed Services — RFP Vendor Response Template</t>
  </si>
  <si>
    <t>Complete all tabs in this workbook. Click a section name below to navigate directly to that tab.</t>
  </si>
  <si>
    <t>#</t>
  </si>
  <si>
    <t>Section</t>
  </si>
  <si>
    <t>Description</t>
  </si>
  <si>
    <t>1.0</t>
  </si>
  <si>
    <t>Table of Contents</t>
  </si>
  <si>
    <t>Navigation and workbook overview</t>
  </si>
  <si>
    <t>2.0</t>
  </si>
  <si>
    <t>Industry Experience</t>
  </si>
  <si>
    <t>Organizational track record, workforce, and credentials</t>
  </si>
  <si>
    <t>3.0</t>
  </si>
  <si>
    <t>Relevant Experience</t>
  </si>
  <si>
    <t>Case studies and client references</t>
  </si>
  <si>
    <t>4.0</t>
  </si>
  <si>
    <t>Workforce &amp; Delivery</t>
  </si>
  <si>
    <t>Service coverage, languages, sites, workforce migration, and offshore phasing</t>
  </si>
  <si>
    <t>5.0</t>
  </si>
  <si>
    <t>Technology Solution</t>
  </si>
  <si>
    <t>Technology mapping, governance commitments, AI overlays, and efficiency plan</t>
  </si>
  <si>
    <t>6.0</t>
  </si>
  <si>
    <t>Pricing</t>
  </si>
  <si>
    <t>Rate card, professional services, one-time costs, and pricing assumptions</t>
  </si>
  <si>
    <t>7.0</t>
  </si>
  <si>
    <t>Client Migration</t>
  </si>
  <si>
    <t>Client-level migration plan and wave sequencing</t>
  </si>
  <si>
    <t>8.0</t>
  </si>
  <si>
    <t>Regulatory Compliance</t>
  </si>
  <si>
    <t>Regulatory, compliance, and data governance commitments</t>
  </si>
  <si>
    <t>9.0</t>
  </si>
  <si>
    <t>Client EfficiencyAssumption</t>
  </si>
  <si>
    <t xml:space="preserve"> commitment from the vendor on offshore to onshore mix, consequent labor arbitrage %, cost reduction from AI &amp; Digital Overlays, cost reduction from Productivity gains</t>
  </si>
  <si>
    <t>2.0  Industry Experience</t>
  </si>
  <si>
    <t>Complete Column D for every row. For rows asking for years of experience, enter the number of years and include a brief note on scope or relevant clients. For all other rows, provide a written response. Specific, evidence-based answers are expected.</t>
  </si>
  <si>
    <t xml:space="preserve">2.1 — Industry Track Record
</t>
  </si>
  <si>
    <t>Area of Experience</t>
  </si>
  <si>
    <t>What We Are Asking</t>
  </si>
  <si>
    <t>Vendor Response</t>
  </si>
  <si>
    <t>Track Record — Financial Services Issuer Services</t>
  </si>
  <si>
    <t>Describe your organization's overall track record serving card-issuing financial institutions. Include years in market, number of active issuer clients, approximate ACV managed, and any notable performance milestones.</t>
  </si>
  <si>
    <t>4th Party / Sub-Contractor Management</t>
  </si>
  <si>
    <t>Describe your approach to managing sub-contractors used in delivering TMS services. Confirm: (1) whether sub-contractors would be used on this engagement, which subcontractors would be used and where work would be performed; (2) your SLA flow-down mechanism; (3) whether the client retains audit rights over sub-contractors.</t>
  </si>
  <si>
    <t>Years of Experience — Risk Mitigation</t>
  </si>
  <si>
    <t>How many years has your organization delivered end-to-end risk mitigation covering fraud, collections, disputes, and credit bureau management. Report the number of years your organization has continuously operated this function. Do not sum individual staff years across people — report the longest unbroken period your organization has actively delivered this service.</t>
  </si>
  <si>
    <t>34 years</t>
  </si>
  <si>
    <t>Years of Experience — Customer Care</t>
  </si>
  <si>
    <t>How many years has your organization delivered customer care for card programs (commercial, consumer credit, debit, retail, loyalty, healthcare, prepaid). Scope includes: IVR and live agent handling, multilingual and after-hours support, lost/stolen servicing, and loyalty programs. Report the number of years your organization has continuously operated this function. Do not sum individual staff years across people — report the longest unbroken period your organization has actively delivered this service.</t>
  </si>
  <si>
    <t>32 years</t>
  </si>
  <si>
    <t>Years of Experience — Back Office</t>
  </si>
  <si>
    <t>How many years has your organization delivered back-office processing for card programs. Scope includes: imaging, correspondence processing, payment research, balance transfers, credit balance refunds, account maintenance, general ledger (GL) balancing and settlement, reconciliation of GL accounts, and returned mail processing. Note: application processing is not in scope for this engagement. Report the number of years your organization has continuously operated this function. Do not sum individual staff years across people — report the longest unbroken period your organization has actively delivered this service.</t>
  </si>
  <si>
    <t>Years of Experience — Client Operations Oversight</t>
  </si>
  <si>
    <t>How many years has your organization delivered structured client-facing operational support. Scope includes: day-to-day client inquiry and escalation management, monthly and quarterly business reviews, and SLA monitoring. Report the number of years your organization has continuously operated this function. Do not sum individual staff years across people — report the longest unbroken period your organization has actively delivered this service.</t>
  </si>
  <si>
    <t>26 years</t>
  </si>
  <si>
    <t>Number of Active Financial Services Clients</t>
  </si>
  <si>
    <t>How many active financial services clients does your organization currently serve? Break out by client type (issuer, acquirer, payments processor, other) where possible.</t>
  </si>
  <si>
    <t>Countries of Operation</t>
  </si>
  <si>
    <t>In which countries do you currently deliver contact center or back-office services? Please list all the countries and sites you currently support. For each, indicate whether the site is company-owned or sub-contracted.</t>
  </si>
  <si>
    <t>Languages Supported</t>
  </si>
  <si>
    <t>Which languages do you currently support across your delivery network? List associated delivery locations. Of particular relevance: English (US, CA, UK), Spanish (US), French-Canadian, German, Dutch, Portuguese.</t>
  </si>
  <si>
    <t>Overall Workforce</t>
  </si>
  <si>
    <t>What is your total headcount across all geographies? Break out by: (1) front-office agent FTE; (2) back-office agent FTE; (3) support FTE (QA, WFM, Training, Management, Analytics); (4) approximate onshore / nearshore / offshore split (%).</t>
  </si>
  <si>
    <t>Agent Attrition — Last 3 Calendar Years</t>
  </si>
  <si>
    <t>What were your voluntary agent attrition rates for each of the last three calendar years? Break out by geography where materially different.</t>
  </si>
  <si>
    <t>Average Agent Tenure</t>
  </si>
  <si>
    <t>What is your average agent tenure overall? Break out by primary function where available: Customer Service, Fraud Operations, Disputes &amp; Chargebacks, Debt &amp; Collections, Back Office, and Risk &amp; Compliance.</t>
  </si>
  <si>
    <t>Agent Qualifications</t>
  </si>
  <si>
    <t>Optional. Are there any industry-relevant certifications, training frameworks, or accreditations held by your workforce that are applicable to financial services contact center operations?</t>
  </si>
  <si>
    <t>3.0  Relevant Experience</t>
  </si>
  <si>
    <t>Provide three case studies and three client references on comparable engagements. Case studies should reflect large-scale, regulated financial services BPO. At least one must involve a migration of 300+ FTE.</t>
  </si>
  <si>
    <t>3.1  Case Studies</t>
  </si>
  <si>
    <t>Select engagements that reflect large-scale, regulated financial services BPO. At least one must involve a migration of 300+ FTE. Include one engagement where challenges were encountered — describe what happened and how they were resolved.</t>
  </si>
  <si>
    <t>Industry &amp; Client Type</t>
  </si>
  <si>
    <t>Scale
(FTE / Volume)</t>
  </si>
  <si>
    <t>Services Provided</t>
  </si>
  <si>
    <t>Geographies &amp; Languages</t>
  </si>
  <si>
    <t>Transformation Levers Applied</t>
  </si>
  <si>
    <t>Measurable Outcomes</t>
  </si>
  <si>
    <t>Challenges &amp; Resolution</t>
  </si>
  <si>
    <t>1</t>
  </si>
  <si>
    <t>Department of Treasury</t>
  </si>
  <si>
    <t>$500M ($25M-30M annual) large-scale enterprise-wide digital transformation of MeF, the only means to electronically submit business and individual tax returns, involving 52 tax types and 1,790 separate forms with over 380M returns filed annually and over 3.5B returns since inception.</t>
  </si>
  <si>
    <t>- Application modernization
- Process redesign
Modernization of legacy
core tax account systems
using Generative AI and
other AI Assets to convert
from legacy code to
modern event driven
architectures and
microservices in months
not years.</t>
  </si>
  <si>
    <t>US / English</t>
  </si>
  <si>
    <t>- Agentic AI-Driven Delivery Acceleration
- Operational System Redesign
- Straight-Through Digital Processing
- Core System Modernization
- AI-Enabled Fraud Prevention and Compliance</t>
  </si>
  <si>
    <t>- Support spans three significantly diverse product environments, including 24/7 operations, over
10 lower environments, over 2.7M lines of code, and an average of 200 major form changes a
year
- MeF processes over 300M tax returns in January and February and, on a peak day (April 15), it
processes over 20M
- MeF must process hundreds to thousands of business rules against each return, including
integrating the response and interactive verification from up to three transaction interfaces with
other systems
- MeF uses an Application to Application (A2A) interface that allows transmitters and states to
submit – and retrieve – returns interactively with MeF, which processes 500 tax returns per
second. Each tax return has many child forms and attached dependencies, which all require
validation</t>
  </si>
  <si>
    <t>- Processed 344M e-filings in 2023
- Piloting automation technology to streamline paper processing
- Repository for all taxpayer information filings
- Authenticates &amp; Validates users &amp; protects 30 million taxpayer IDs
- Financial management and procurement for IRS itself
- IBM mainframes support explosion of filings &amp; data (ESIS)
- Migrating IRS workloads to the cloud
- Validated income and family size for 35 million people with ACA insurance</t>
  </si>
  <si>
    <t>2</t>
  </si>
  <si>
    <t>Cemig</t>
  </si>
  <si>
    <t>Call Center w/ 850 FTEs
Backoffice w/ 600 FTEs</t>
  </si>
  <si>
    <t>Digital transformation services provided across customer touchpoints incuding branches, contact center, back office, mobile, social media platforms and website. IBM's solution involved the redesign of customer experience strategy and technology roadmap to move from analog to digital, redefinition of operating model to deliver exceptional service.</t>
  </si>
  <si>
    <t>Brazil / Portugese &amp; English</t>
  </si>
  <si>
    <t>- Single-screen cockpit, process redesign and automation (RPA)
- Knowledge Management Solution</t>
  </si>
  <si>
    <t>$80M OpEx Reduction over 10 years, savings from year 1 with 30%+ savings over 10-year term
with 50% run rate savings by Year 10</t>
  </si>
  <si>
    <t xml:space="preserve"> - Improve NPS targeting to a humanized, simplified and agile way to answer customer needs with coordinated and error-free services
- Provide an omnichannel platform improving CEMIG’s interaction experience
- Reduce operation cost of customer care by promoting a migration from human to digital
channels. CEMIG’s goal is to achieve 90% of customer interaction over digital/self-service
channels
- CEMIG aims to be reference on energy distribution sector leading digital transformation
between peers</t>
  </si>
  <si>
    <t>3</t>
  </si>
  <si>
    <t>Large US Healthcare Insurer</t>
  </si>
  <si>
    <t>10 million reduction in annual call volume to human agents</t>
  </si>
  <si>
    <t>Elevance Health leveraged IBM’s AI solutions to modernize customer care in health insurance. By integrating watsonx Assistant and Orchestrate, they optimized call center automation and digital engagement. The initiative also enhanced member experiences through clinical analytics and modernized claims systems. For more information, visit Elevance Health’s AI Transformation and Contact Center Transformation.</t>
  </si>
  <si>
    <t>- IBM automation
- Watsonx Code Assistant</t>
  </si>
  <si>
    <t>Significantly reduced human call volumes by over 10 million annually</t>
  </si>
  <si>
    <t>- Achieved a 75%+ AI resolution rate
- Delivered over $57 million in annual value and a 
- Delivered 90.7% customer satisfaction rating, demonstrating the impact of AI-driven transformation in healthcare operations</t>
  </si>
  <si>
    <t>3.2  Client References</t>
  </si>
  <si>
    <t>References must be contactable and from current or former financial services clients on comparable engagements. At least one reference should be able to speak to a transformation or large-scale migration program.</t>
  </si>
  <si>
    <t>Company Name</t>
  </si>
  <si>
    <t>Reference Name &amp; Title</t>
  </si>
  <si>
    <t>Contact Information</t>
  </si>
  <si>
    <t>Nature of Engagement</t>
  </si>
  <si>
    <t>Additional Notes</t>
  </si>
  <si>
    <t>Large US Financial Services / Insurance company</t>
  </si>
  <si>
    <t>Client information to be provided at a later date</t>
  </si>
  <si>
    <t>All IBM client references will be enabled and routed through IBM team based on the request from FIS</t>
  </si>
  <si>
    <t>BPO + AI / Automation</t>
  </si>
  <si>
    <t>AI / Automation</t>
  </si>
  <si>
    <t>New Jersey DCA</t>
  </si>
  <si>
    <t>State of New Jersey</t>
  </si>
  <si>
    <t>4.0  Workforce &amp; Service Delivery</t>
  </si>
  <si>
    <t>This tab covers eigh areas: (1) language capabilities, (2) rebadging scope (3)  rebadging / offshoring schedule (5) staffing model, (6) cost impacts, (7) SLA Adherance, and (8) Change Management Approach. Responses across sections should be consistent with each other and with your pricing in sheet 6.0.</t>
  </si>
  <si>
    <t>4.1  Language Capabilities</t>
  </si>
  <si>
    <t xml:space="preserve">Confirm your ability to support each language. For each language, list the delivery location(s) you would use to support it. </t>
  </si>
  <si>
    <t>Language</t>
  </si>
  <si>
    <t>Can You
Support? (Y/N)</t>
  </si>
  <si>
    <t>Primary Delivery
Location</t>
  </si>
  <si>
    <t>Secondary
Location</t>
  </si>
  <si>
    <t>Tertiary
Location</t>
  </si>
  <si>
    <t>Volume /
Threshold Notes</t>
  </si>
  <si>
    <t>English (US)</t>
  </si>
  <si>
    <t>Y</t>
  </si>
  <si>
    <t>Philippines (Front-Office)
India (Back-Office)</t>
  </si>
  <si>
    <t>Krakow (Front-Office)</t>
  </si>
  <si>
    <t>English (UK)</t>
  </si>
  <si>
    <t>English (Canada)</t>
  </si>
  <si>
    <t>Spanish (US)</t>
  </si>
  <si>
    <t>French-Canadian</t>
  </si>
  <si>
    <t>German</t>
  </si>
  <si>
    <t>Krakow</t>
  </si>
  <si>
    <t>Dutch</t>
  </si>
  <si>
    <t>Portuguese</t>
  </si>
  <si>
    <t>4.2 Site Rebadge Approach</t>
  </si>
  <si>
    <t xml:space="preserve">TMS currently operates across seven sites across North America (North America) and Europe, Middle East &amp; Africa (EMEA). For each site, indicate your intended approach. Headcount figures will be provided in the data appendix. </t>
  </si>
  <si>
    <t>Site</t>
  </si>
  <si>
    <t>Region</t>
  </si>
  <si>
    <t>Intend to Take
Over Site? (Y/N)</t>
  </si>
  <si>
    <t>Target Transition
Date</t>
  </si>
  <si>
    <t>Approach
(Workforce Only / Site + Workforce / Neither)</t>
  </si>
  <si>
    <t>Approx. FTE
at Site (post-transition)</t>
  </si>
  <si>
    <t>Considerations &amp; Assumptions</t>
  </si>
  <si>
    <t>US — Columbus, GA</t>
  </si>
  <si>
    <t>North America</t>
  </si>
  <si>
    <t>N</t>
  </si>
  <si>
    <t>Month 12</t>
  </si>
  <si>
    <t>Neither</t>
  </si>
  <si>
    <t>Canada — Sudbury</t>
  </si>
  <si>
    <t>Philippines — Manila</t>
  </si>
  <si>
    <t>North America / Offshore</t>
  </si>
  <si>
    <t>Month 3</t>
  </si>
  <si>
    <t>Workforce</t>
  </si>
  <si>
    <t>UK — Milton Keynes</t>
  </si>
  <si>
    <t>EMEA</t>
  </si>
  <si>
    <t>Month 6</t>
  </si>
  <si>
    <t>Site + Workforce</t>
  </si>
  <si>
    <t>UK — Coventry</t>
  </si>
  <si>
    <t>Netherlands — Barneveld</t>
  </si>
  <si>
    <t>Month 13</t>
  </si>
  <si>
    <t>Germany — Hamburg</t>
  </si>
  <si>
    <t>Month 15</t>
  </si>
  <si>
    <t>4.3 Employee Transition Terms</t>
  </si>
  <si>
    <t>State your position on each commitment. Note conditions or constraints where you cannot fully commit.</t>
  </si>
  <si>
    <t>Rebadging Ease of Transition</t>
  </si>
  <si>
    <t>Response</t>
  </si>
  <si>
    <t>Same salaries offered to rebadged employees? (Y/N)</t>
  </si>
  <si>
    <t>Same benefits offered to rebadged employees? (Y/N)</t>
  </si>
  <si>
    <t>Retention bonus to be paid? (Y/N)</t>
  </si>
  <si>
    <t>IBM recommends discussing the current compensation of employees, including benefits offered, locations, regulatory restrictions, and more.</t>
  </si>
  <si>
    <t>Severance to be paid if employees are downsized? (Y/N)</t>
  </si>
  <si>
    <t>IBM will adhere to any local regulatory requirements.</t>
  </si>
  <si>
    <t>4.4 Legacy IT &amp; Site Asset Acquisition</t>
  </si>
  <si>
    <t>For each asset, confirm acquisition intent and proposed transfer date. Where declining, state your transition assumptions.</t>
  </si>
  <si>
    <t>Legacy IT and Site Infrastructure</t>
  </si>
  <si>
    <t>Will the technology be acquired? (Y/N)</t>
  </si>
  <si>
    <t>Transfer Date</t>
  </si>
  <si>
    <t>Technology Licenses</t>
  </si>
  <si>
    <t>IBM offers a flexible approach. IBM's standard approach is to provide both infrastructure, including laptops, and technology licenses required for FIS' desired target state solution (i.e., NICE CXOne). 
IBM recommends discussing additional legacy IT or site assets recommended for acquisition.</t>
  </si>
  <si>
    <t>To be further discussed</t>
  </si>
  <si>
    <t>Laptops</t>
  </si>
  <si>
    <t>Site specific networking components</t>
  </si>
  <si>
    <t>Other</t>
  </si>
  <si>
    <t>4.5 Role-Level Rebadge &amp; Retention Scope</t>
  </si>
  <si>
    <t>For each function and site, confirm whether staff are in scope for rebadging and retention bonus eligibility.</t>
  </si>
  <si>
    <t>Will these resources be rebadged? (Y/N)</t>
  </si>
  <si>
    <t>Functions Specification</t>
  </si>
  <si>
    <t>In-scope for retention bonus? Y/N</t>
  </si>
  <si>
    <t xml:space="preserve">WFM </t>
  </si>
  <si>
    <t>Yes for those available - RFP Data was not specific on PHL roles available</t>
  </si>
  <si>
    <t>Training</t>
  </si>
  <si>
    <t xml:space="preserve">Quality </t>
  </si>
  <si>
    <t xml:space="preserve">Customer Service </t>
  </si>
  <si>
    <t xml:space="preserve">Loyalty </t>
  </si>
  <si>
    <t xml:space="preserve">Disputes Inbound </t>
  </si>
  <si>
    <t xml:space="preserve">Fraud Inbound </t>
  </si>
  <si>
    <t xml:space="preserve">Fraud Outbound </t>
  </si>
  <si>
    <t xml:space="preserve">Fraud Strategy </t>
  </si>
  <si>
    <t xml:space="preserve">Back Office Disputes </t>
  </si>
  <si>
    <t xml:space="preserve">Off Phone </t>
  </si>
  <si>
    <t xml:space="preserve">Accounting </t>
  </si>
  <si>
    <t xml:space="preserve">Reporting </t>
  </si>
  <si>
    <t xml:space="preserve">Collections </t>
  </si>
  <si>
    <t xml:space="preserve">IVR/Tech </t>
  </si>
  <si>
    <t xml:space="preserve">Senior Leadership </t>
  </si>
  <si>
    <t>4.6  Location Model</t>
  </si>
  <si>
    <t>For each service tower, describe how you propose to rebadge or offshore and nearshore delivery over the contract term in a location migration plan. Vendor to add additional sites locations the work will be transitioned to as necessary. Vendors should propose the delivery footprint they believe is optimal to achieve the efficiency outcomes described in the RFP, within the client and regulatory constraints identified. Clearly state your assumptions and the sequencing rationale. Note: your full list of current operating locations should be declared in tab 2.0 under Countries of Operation and not necessarily repeated here.</t>
  </si>
  <si>
    <t>Current Host Location</t>
  </si>
  <si>
    <t>Future Host Location</t>
  </si>
  <si>
    <t>End State, How many FTE will Remain at this location? (Provide as a % of the current site FTE counts)</t>
  </si>
  <si>
    <t>Philippines: Front Office
India: Back Office</t>
  </si>
  <si>
    <t>Philippines (2 Cities)</t>
  </si>
  <si>
    <t>Poland - Krakow</t>
  </si>
  <si>
    <t>Add additional locations as desired</t>
  </si>
  <si>
    <t>IBM is flexible and is open to discuss FIS' preferred locations.</t>
  </si>
  <si>
    <t>4.7 SLA &amp; KPI Improvement Commitments</t>
  </si>
  <si>
    <t>Demonstrate the expected improvement in SLAs/KPIs over time, from transition through steady state. Proposed commitments may be incorporated into contractual service level schedules.</t>
  </si>
  <si>
    <t>SLA/KPI</t>
  </si>
  <si>
    <t>Current Levels</t>
  </si>
  <si>
    <t>Future Levels</t>
  </si>
  <si>
    <t>Improvement Approach</t>
  </si>
  <si>
    <t>Time to improvement</t>
  </si>
  <si>
    <t>SLA/KPI - FIS ~Averages</t>
  </si>
  <si>
    <t>Vendor to provide approach to improving SLA / KPI</t>
  </si>
  <si>
    <t>Vendor to provide improvement timing</t>
  </si>
  <si>
    <t>Service Level</t>
  </si>
  <si>
    <t>NA ~75% EMEA ~ 76%</t>
  </si>
  <si>
    <t>Our WFM approach to SLA is fouces on capacity precision and execution discipline. We ensure accurate demand planning through robust forecasting methodologies and translate this into interval-level staffing plans that account for all shrinkage components.
SLA delivery is governed through continuous tracking of requirement vs. net staffing, schedule efficiency, adherence, and occupancy. Variances are analyzed at a granular level (interval/queue), enabling timely corrective actions in collaboration with Operations. This structured governance ensures that planned capacity is consistently realized on the floor, driving stable and predictable SLA outcomes.</t>
  </si>
  <si>
    <t>60 to 120 Days</t>
  </si>
  <si>
    <t>Average Speed of Answer</t>
  </si>
  <si>
    <t>Depending on Client 30 - 60 seconds</t>
  </si>
  <si>
    <t>20 Sec</t>
  </si>
  <si>
    <t>ASA is managed as a real-time responsiveness metric, where WFM focuses on ensuring capacity availability at the exact moment of demand. Beyond overall staffing, emphasis is placed on interval coverage precision, particularly during demand peaks and intra-day fluctuations.
WFM actively manages Real-Time Adherence (RTA), break adherence, and intra-interval staffing gaps to minimize response delays. Intraday actions are driven by continuous monitoring of queue conditions, ensuring swift adjustments to staffing distribution and maintaining optimal queue flow. 
Through a combination of proactive planning, real-time control, and actionable insights, WFM enables improved queue responsiveness and consistent ASA perform</t>
  </si>
  <si>
    <t>61 to 120 Days</t>
  </si>
  <si>
    <t>Abandon Rate</t>
  </si>
  <si>
    <t>NA ~3.78% EMEA ~3.30%</t>
  </si>
  <si>
    <t>&lt;5%</t>
  </si>
  <si>
    <t>Abandonment Rate is a sensitivity metric driven by wait time volatility, and WFM directly influences it through coverage precision and intraday responsiveness.
Our approach focuses on interval-level demand–supply matching to prevent queue build-up at critical periods where abandonment risk is highest. Beyond baseline staffing, WFM actively manages coverage gaps (net staffing vs requirement) and ensures optimal distribution of resources across intervals and queues.
A key lever is Real-Time Adherence (RTA) and intraday control, where WFM continuously monitors queue thresholds and triggers immediate actions such as:
Reallocation of offline resources/Support Resources to queue
Break and activity re-optimization
Short-term capacity adjustments (OT)
We also track queue behavior indicators such as spikes in wait time, sudden volume surges, and interval-level SLA dips to proactively prevent abandonment rather than react to it.
Additionally, WFM provides granular insights on mismatch drivers (e.g., under-coverage intervals, high AHT impact, shrinkage deviations), enabling Operations to take targeted actions without delay</t>
  </si>
  <si>
    <t>62 to 120 Days</t>
  </si>
  <si>
    <t>First Contact Resolution</t>
  </si>
  <si>
    <t>Need baseline data</t>
  </si>
  <si>
    <t>&gt;80%</t>
  </si>
  <si>
    <t xml:space="preserve">First Call Resolution (FCR) is primarily driven by agent capability and process effectiveness however, WFM plays a critical role by enabling the right conditions for quality resolution.
Our approach focuses on ensuring optimal staffing stability and workload balance, allowing agents sufficient time and focus to resolve customer queries effectively without undue pressure from queue congestion. By maintaining appropriate occupancy levels and minimizing overloading during peak intervals, 
WFM also provides data-driven insights on key drivers impacting FCR, such as repeat contact trends, AHT variations, and interval-level workload pressures. These insights enable Operations and Training teams to take targeted actions around coaching, knowledge gaps, and process improvements.
Additionally, WFM monitors ramp-up trends and productivity patterns, supporting better workforce readiness and consistency in service delivery.
</t>
  </si>
  <si>
    <t>90 to 180 days from stead state</t>
  </si>
  <si>
    <t>Net Promoter Score</t>
  </si>
  <si>
    <t>&gt;40% (Top Industry Quartile)</t>
  </si>
  <si>
    <t xml:space="preserve">Training:
At IBM we focus heavily on soft‑skill development, including empathy, tone, rapport‑building, and service recovery. Agents learn how to create a positive emotional impact, especially in difficult situations, using consistent and customer‑friendly language.
Quality:
Quality reviews emphasize behaviors that influence NPS outcomes. Detractor calls are analyzed to identify patterns, and coaching is delivered to elevate overall interaction quality. Calibration with the client ensures evaluation criteria remain aligned and predictable.
</t>
  </si>
  <si>
    <t>9 to 12 months due to frequency and methodology</t>
  </si>
  <si>
    <t>CSAT</t>
  </si>
  <si>
    <t>Up to 10% improvement over current score, targeting best in call targets</t>
  </si>
  <si>
    <t>From a WFM lens, CSAT is driven by interaction stability and controlled workload conditions. WFM ensures optimal occupancy and balanced workload distribution, preventing both agent overloading and idle capacity, which directly impacts interaction quality.
The focus is on maintaining consistent interval-level coverage and minimizing service variability, ensuring uniform service experience across time bands. Through tight control on shrinkage, net staffing vs. requirement, and workload spikes, WFM enables a stable operating environment where agents can deliver quality interactions</t>
  </si>
  <si>
    <t>90 Days</t>
  </si>
  <si>
    <t>Cross-Sell/Up-Sell</t>
  </si>
  <si>
    <t>Approx 20% to match banking industry best in class standard</t>
  </si>
  <si>
    <t>IBM will implement a structured, compliant, and customer‑centric sales framework designed to progress performance toward a Best‑in‑Class cross‑sell/upsell rate of approximately 20%. Training:
At IBM we provide skill‑building in value‑based selling, ensuring agents identify customer needs and match them with the appropriate offers. Training includes scripts, compliance guidance, and objection‑handling to support natural and customer‑aligned product recommendations.
Quality:
Quality audits evaluate accuracy, compliance, and effectiveness of sales conversations. Coaching focuses on enhancing discovery techniques and improving the clarity and relevance of offers. Insights from audits drive ongoing refinement of the selling approach to maximize success while protecting customer experience.</t>
  </si>
  <si>
    <t>120 to 180 days depending on current baseline of agent proficiency</t>
  </si>
  <si>
    <t>5.0  Technology Solution</t>
  </si>
  <si>
    <t>This tab covers four areas: (1) technology capability mapping — current TSYS applications and expected future-state are pre-populated for reference; respond with your proposed solution and migration approach; (2) technology governance commitments; (3) AI overlay capabilities; (4) Technology Costs You Are Willing to Fund and (5) a Technology responsibility Matrix between yourself and FIS/TSYS;
The migration approach and target architecture columns are intentionally open. FIS is not prescribing a migration methodology or architecture pattern. Vendors should propose the approach they would actually use based on the current and future-state stack shown. Responses that reflect a genuine assessment of the TSYS-to-FIS technology context will be evaluated more favorably than generic migration frameworks.</t>
  </si>
  <si>
    <t>5.1  Technology Capability Mapping &amp; Migration Plan</t>
  </si>
  <si>
    <t>Columns D and E show the current TSYS application and the expected future-state application for reference. Where no future-state equivalent exists, the TSYS application will be retained. Provide your proposed solution, migration approach, and costs.</t>
  </si>
  <si>
    <t>Capability</t>
  </si>
  <si>
    <t>Technology Type</t>
  </si>
  <si>
    <t>Current TSYS
Application</t>
  </si>
  <si>
    <t>Future-State Application
(if no equivalent, TSYS retained)</t>
  </si>
  <si>
    <t>Phasing Strategy</t>
  </si>
  <si>
    <t>Proposed Sequencing</t>
  </si>
  <si>
    <t>Migration Approach</t>
  </si>
  <si>
    <t>Target Architecture Pattern</t>
  </si>
  <si>
    <t>Data Migration Approach</t>
  </si>
  <si>
    <t>Estimated Start Date</t>
  </si>
  <si>
    <t>Cutover Duration</t>
  </si>
  <si>
    <t>Key Dependencies</t>
  </si>
  <si>
    <t>Key Risks</t>
  </si>
  <si>
    <t>Communications Management</t>
  </si>
  <si>
    <t>Voice (Inbound/Outbound)</t>
  </si>
  <si>
    <t>Avaya (CM, AAEP, AES, CBA, Session Mgr, SBCE)</t>
  </si>
  <si>
    <t>NICE CXone</t>
  </si>
  <si>
    <t>Phase 1</t>
  </si>
  <si>
    <t>NA</t>
  </si>
  <si>
    <t>IBM will establish two regional instances of NICE CXOne and the proposed Chat/Secure Messaging and Conversational/AI-based IVR in North America and EMEA. 
Please refer to the Technology Integration Approach section of the *Insert PPT title* for additional details.</t>
  </si>
  <si>
    <t>M4</t>
  </si>
  <si>
    <t>120 Days</t>
  </si>
  <si>
    <t>Clien Operations</t>
  </si>
  <si>
    <t>Teams availability (Client and Vendor)</t>
  </si>
  <si>
    <t>Chat / Secure Messaging</t>
  </si>
  <si>
    <t>AWS Connect (in deployment)</t>
  </si>
  <si>
    <t>AWS Connect</t>
  </si>
  <si>
    <t>IVR / CTI</t>
  </si>
  <si>
    <t>Touchpad IVR</t>
  </si>
  <si>
    <t>Avaya Aura Experience Portal</t>
  </si>
  <si>
    <t>NICE CXone (IVR module)</t>
  </si>
  <si>
    <t>Conversational / AI-based IVR</t>
  </si>
  <si>
    <t>Screen Pop with Call / Contact</t>
  </si>
  <si>
    <t>Avaya CTI / Avaya Workspaces (EMEA)</t>
  </si>
  <si>
    <t>NICE CXone (screen pop module)</t>
  </si>
  <si>
    <t>Routing</t>
  </si>
  <si>
    <t>Skills-Based Routing</t>
  </si>
  <si>
    <t>Avaya CM / AES</t>
  </si>
  <si>
    <t>Advanced Routing (customer attribute-based)</t>
  </si>
  <si>
    <t>CRM / Case Management</t>
  </si>
  <si>
    <t>Customer Authentication</t>
  </si>
  <si>
    <t>Avaya CTI / step-up auth tools</t>
  </si>
  <si>
    <t>Agent Desktop</t>
  </si>
  <si>
    <t>Agent Desktop Simplification / Consolidated Desktop</t>
  </si>
  <si>
    <t>TS1 / TS2 Mainframe Green Screens; TCS (Pega)</t>
  </si>
  <si>
    <t>Digital Servicing Platform</t>
  </si>
  <si>
    <t>Lynda to insert language around Common Front End design</t>
  </si>
  <si>
    <t>QA — Recording &amp; Scorecards</t>
  </si>
  <si>
    <t>Call / Contact Recording</t>
  </si>
  <si>
    <t>Avaya/Verint WFO; NICE Call Recording (North America); Avaya/Verint WFO (EMEA)</t>
  </si>
  <si>
    <t>NICE CXone (recording module)</t>
  </si>
  <si>
    <t>Screen Capture</t>
  </si>
  <si>
    <t>Avaya/Verint WFO; Desktop &amp; Process Analytics (EMEA)</t>
  </si>
  <si>
    <t>Quality Scorecard &amp; Review</t>
  </si>
  <si>
    <t>Avaya/Verint WFO (Quality Monitoring, Form Designer)</t>
  </si>
  <si>
    <t>Speech &amp; Text Analytics</t>
  </si>
  <si>
    <t>Compliance Monitoring</t>
  </si>
  <si>
    <t>Avaya/Verint WFO (compliance recording)</t>
  </si>
  <si>
    <t>Workforce Management</t>
  </si>
  <si>
    <t>Strategic &amp; Tactical Forecasting</t>
  </si>
  <si>
    <t>Avaya/Verint WFO (Strategy Planner + WFM)</t>
  </si>
  <si>
    <t>NICE CXone (WFM module)</t>
  </si>
  <si>
    <t>5.2  Technology Governance Commitments</t>
  </si>
  <si>
    <t>For each commitment below, state your position clearly. Where you cannot fully commit, describe the conditions or constraints that apply.</t>
  </si>
  <si>
    <t>Requirement</t>
  </si>
  <si>
    <t>Vendor Position
(Commit / Partial / Cannot Commit)</t>
  </si>
  <si>
    <t>Details, Conditions, or Constraints</t>
  </si>
  <si>
    <t>Confirm you will provide open APIs with no data lock-in and full interoperability.</t>
  </si>
  <si>
    <t>Commit</t>
  </si>
  <si>
    <t>Integrations rely on client‑provided APIs and standard data exchange protocols (JSON, XML, HTTPS). No proprietary API dependencies.
The proposed architecture supports a fully open integration model using REST, event‑based, and enterprise APIs.
All platform components — including AI, CCaaS, routing, and knowledge systems — integrate through standards‑based APIs offered by the client.
This ensures no data lock‑in, seamless interoperability, and the flexibility to replace or upgrade components without disrupting upstream or downstream systems.</t>
  </si>
  <si>
    <t>Confirm the FIS/TSYS retains full ownership of all data at all times, including during and after transition.</t>
  </si>
  <si>
    <t>Solution components only process data; they do not assume ownership. Data resides in client‑controlled systems of record.
All customer, operational, and interaction data remains within client‑owned systems of record, such as enterprise data lakes, CRM platforms, and backend account systems.
AI engines, CCaaS tools, and orchestration layers only process or reference this data; they do not become the authoritative repository.
Ownership, control, access rights, and retention policies remain solely under the client’s governance.</t>
  </si>
  <si>
    <t>Confirm no proprietary data formats will be used — all data exportable in standard formats at any time.</t>
  </si>
  <si>
    <t>The architecture uses industry‑standard data structures and exchange formats (e.g., JSON, XML, CSV, Parquet).
All models, logs, analytical outputs, and customer interaction data are stored or exportable in open formats, ensuring portability and long‑term accessibility.</t>
  </si>
  <si>
    <t>Confirm full data extraction rights upon contract exit, at no additional cost to the client.</t>
  </si>
  <si>
    <t>Extraction occurs via API or standard export mechanisms. Does not include optional consulting services unless requested.
Because all systems integrate through client‑controlled APIs and data repositories, the client may extract:
Interaction transcripts
Training data
Routing logic
System configuration
Performance metrics
Audit and compliance logs
without dependency on proprietary tooling or additional licensing.
The engagement model ensures no incremental extraction cost at exit.</t>
  </si>
  <si>
    <t>Confirm you can provide a side-by-side coexistence environment for a minimum 12-month dual-run period.</t>
  </si>
  <si>
    <t>Dual‑run duration and scope depend on routing design, telephony integration, and volume. Typically implemented for 6–18 months.
The target operating model supports fallback and parallel operations between:
AI self‑service
CCaaS
Live agents
Legacy support environments
Parallel routing and coexistence can be maintained for 12 months or longer, supporting phased migration, risk‑managed cutover, and A/B performance validation.</t>
  </si>
  <si>
    <t>Confirm you will fund technical debt remediation where your technology introduction creates new technical debt.</t>
  </si>
  <si>
    <t>Partial</t>
  </si>
  <si>
    <t>Commitment covers debt arising from new components introduced by the provider; legacy issues or upstream/downstream limitations are excluded.
Any new technology introduced within the engagement is deployed using industry‑standard architectures, minimizing incremental technical debt.
Where platform deployment or integration work generates new technical debt directly attributable to the solution, the provider commits to remediation at no added cost, ensuring long‑term maintainability and future‑state scalability.</t>
  </si>
  <si>
    <t>Confirm you will provide AI governance documentation covering bias monitoring, model drift, and explainability for all AI tools deployed.</t>
  </si>
  <si>
    <t>Governance is aligned with industry standards and financial‑services regulatory expectations.
The AI operating model includes:
Bias measurement and mitigation
Model drift monitoring
Explainability frameworks
Hallucination suppression and fact‑grounding
Audit trails
Human‑in‑the‑loop supervision
Governance is embedded across training, deployment, QA, and continuous optimization to ensure regulatory compliance.</t>
  </si>
  <si>
    <t>Confirm AI overlays can be integrated via API without requiring migration of core telephony or processing platforms.</t>
  </si>
  <si>
    <t>Telephony and CCaaS remain client‑owned; only API connections and routing updates are required.
Self‑service digital workers, conversational AI, and agent‑assist capabilities integrate directly with:
Existing telephony/IVR
CCaaS platforms
CRM
Enterprise systems
Because routing and orchestration occur upstream, clients are not required to migrate or replace legacy telephony or servicing platforms.</t>
  </si>
  <si>
    <t>Confirm the client retains ownership of telephony infrastructure and IVR design unless explicitly agreed otherwise.</t>
  </si>
  <si>
    <t>The architecture connects to existing telephony and IVR systems through standards‑based integration.
Ownership of numbers, call flows, IVR designs, and telecom infrastructure remains 100% with the client, unless the client explicitly requests a transition.</t>
  </si>
  <si>
    <t>Confirm a full coexistence architecture plan will be provided prior to go-live, covering the full transition period.</t>
  </si>
  <si>
    <t>A comprehensive plan is delivered before go‑live, including:
End‑to‑end system architecture
Routing and escalation mapping
AI + human coexistence workflows
Operational readiness criteria
Cutover and fallback scenarios
Data flow, security, and compliance overlays
This ensures transparency, predictability, and risk‑controlled activation.</t>
  </si>
  <si>
    <t xml:space="preserve">Confirm all tooling (including AI Overlays) will be pre approved by the FIS/TSYS Governance team, comprised of architecture, AI Governance and Security Operation, prior to implementation. </t>
  </si>
  <si>
    <t>All technologies — AI, CCaaS, analytics, integrations, telephony components — undergo client governance review covering:
Enterprise architecture
AI governance
Security
Compliance
Risk management
Implementation occurs only after formal approval.</t>
  </si>
  <si>
    <t>Confirm you will provide quantified, contractually referenceable projections of AHT reduction, call deflection, and cost impact from AI overlays.</t>
  </si>
  <si>
    <t>The solution includes measurable, baseline‑driven KPIs such as:
Self‑service containment
Call deflection
AHT reduction
First Contact Resolution
Cost‑to‑serve impact
Agent productivity uplift
These metrics can be incorporated into contractual performance commitments, supported by reporting dashboards, SLA governance, and continuous optimization.</t>
  </si>
  <si>
    <t>5.3  AI Overlay Technology</t>
  </si>
  <si>
    <t>Describe the AI overlay tools you propose to deploy as part of this engagement. For each, describe the capability, quantify the anticipated operational impact, and confirm how it integrates with the existing technology stack. Summarize your total efficiency ambition across all three levers. All figures in USD millions, rounded to one decimal place (e.g. $2.4M). Clearly state which savings are contractually committed.</t>
  </si>
  <si>
    <t>Tooling &amp; AI Overlay Technologies</t>
  </si>
  <si>
    <t>Category
(e.g. NLP, GenAI, RPA, Predictive)</t>
  </si>
  <si>
    <t>Primary Value Lever
(Digital Efficiencies, Labor Arbitrage, Productivity)</t>
  </si>
  <si>
    <t>Quantified Impact
(e.g. X% AHT reduction, Contact Elimination)</t>
  </si>
  <si>
    <t>Timeline to
Deploy</t>
  </si>
  <si>
    <t>Integration Method
(API / Native / Other)</t>
  </si>
  <si>
    <t>Proposed Application to Integrate With</t>
  </si>
  <si>
    <t>Key Assumptions /
Dependencies</t>
  </si>
  <si>
    <t>Total Opportunity
($M relative to Direct Costs)</t>
  </si>
  <si>
    <t>Year 1
Benefit ($M)</t>
  </si>
  <si>
    <t>Year 2
Benefit ($M)</t>
  </si>
  <si>
    <t>Year 3
Benefit ($M)</t>
  </si>
  <si>
    <t>Steady State (Y4)
Benefit ($M)</t>
  </si>
  <si>
    <t>Steady State (Y5)
Benefit ($M)</t>
  </si>
  <si>
    <t>Contractually
Committed? (Y/N)</t>
  </si>
  <si>
    <t xml:space="preserve">Can any technologies be decommissioned/rationalized as a result of this AI overlay? Please identify the impacted applications. </t>
  </si>
  <si>
    <t xml:space="preserve">Cobee Pro </t>
  </si>
  <si>
    <t>GenAI</t>
  </si>
  <si>
    <t xml:space="preserve">Automated document creation tool for capture of business process steps to accelerate creation of Standard Operating Procedures (SOPs) and conversion into digital simulation for virtual training and certification </t>
  </si>
  <si>
    <t>Productivity</t>
  </si>
  <si>
    <t>Accelerated Transition: Rapid definition current state SOPs and creation of agent training or certification materials, from months to weeks</t>
  </si>
  <si>
    <t>Immediately available on IBM Cloud</t>
  </si>
  <si>
    <t>N/A - current state documents are loaded into tool available on IBM Cloud for generation of operational material</t>
  </si>
  <si>
    <t>N/A</t>
  </si>
  <si>
    <t>Y - included as part of IBM's unique suite of contact center and AI assets &amp; accelerators</t>
  </si>
  <si>
    <t xml:space="preserve">Klarity </t>
  </si>
  <si>
    <t>Reporting Aggregation for AI</t>
  </si>
  <si>
    <t xml:space="preserve">Enterprise-wide standard Service Level agreement reporting platform with prebuilt metrics and dashboards for Contact Center operations, AI performance, and customer experience metrics </t>
  </si>
  <si>
    <t>FTE Reduction: Reduced reporting and tracking effort required</t>
  </si>
  <si>
    <t>API</t>
  </si>
  <si>
    <t>NICE CXOne, AI Agents</t>
  </si>
  <si>
    <t>Procedure Eater</t>
  </si>
  <si>
    <t xml:space="preserve">Accelerates use case ideation, requirements generation, and promprt creation. Extracts and synethsizes information from current state procedures in a model-agnostic manner to:
- Identify functions that overlap and opportunities to merge similar work into one process
- Identify candidate work that appears redundant and can be eliminated
- Generate Agent Prompts and system connections for MCP and A2A
- Generate data models and pipelines for enrichment
- Conduct cost and ROI analysis based on input metrics (i.e., FTE headcount, current process SLAs) </t>
  </si>
  <si>
    <t>Accelerated Transition and Execution: Enables rapid analysis of current documentation, identification of opportunities, and generation of inputs for creation and training of agentic workflows</t>
  </si>
  <si>
    <t>Immediately available. Flexible architecture and deployment options across hyperscaler or IBM Cloud</t>
  </si>
  <si>
    <t>NICE CXOne, AI Agents, Workflow of Choice</t>
  </si>
  <si>
    <t>To be discussed</t>
  </si>
  <si>
    <t>IBM Consulting Advantage (ICA)</t>
  </si>
  <si>
    <t>ICA is a modular consulting platform that is model and cloud-agnostic. It contains libraries of pre-built agents and assistants that accelerate transformation across the Product Development Lifecycle.
ICA's open architecture can integrate with native services in FIS' cloud/AI platforms, offering capabilities across:
1. Low-code UI for design, build, and deployment of agentic applications leveraging pre-built suite of agentic templates
2. Agentic core for agentic architectural components for communication protocol management including MCP orchestration and A2A message brokering, gateway/registry services, and security &amp; identity management
3. Agentic application library of pre-built banking templates
4. Embedded observability, evaluation, and control for every agentic application</t>
  </si>
  <si>
    <t>Accelerated Transition and Execution</t>
  </si>
  <si>
    <t xml:space="preserve">Existing Systems  and the Target Systesms  </t>
  </si>
  <si>
    <t>NICE CXONE</t>
  </si>
  <si>
    <r>
      <rPr>
        <b/>
        <sz val="11"/>
        <color rgb="FF000000"/>
        <rFont val="Aptos"/>
      </rPr>
      <t xml:space="preserve">ConnectLingua
</t>
    </r>
    <r>
      <rPr>
        <sz val="11"/>
        <color rgb="FF000000"/>
        <rFont val="Aptos"/>
      </rPr>
      <t xml:space="preserve">An AI‑powered language translation and transcription capability that enables real‑time multilingual support across voice and digital channels, allowing agents and
customers to communicate seamlessly in different languages.
</t>
    </r>
    <r>
      <rPr>
        <b/>
        <sz val="11"/>
        <color rgb="FF000000"/>
        <rFont val="Aptos"/>
      </rPr>
      <t xml:space="preserve">AutoScoring
</t>
    </r>
    <r>
      <rPr>
        <sz val="11"/>
        <color rgb="FF000000"/>
        <rFont val="Aptos"/>
      </rPr>
      <t xml:space="preserve">An AI‑driven quality evaluation capability that automatically scores customer interactions against predefined criteria, reducing manual reviews while improving
consistency, coverage, and coaching insights.
</t>
    </r>
    <r>
      <rPr>
        <b/>
        <sz val="11"/>
        <color rgb="FF000000"/>
        <rFont val="Aptos"/>
      </rPr>
      <t xml:space="preserve">AutoSummary
</t>
    </r>
    <r>
      <rPr>
        <sz val="11"/>
        <color rgb="FF000000"/>
        <rFont val="Aptos"/>
      </rPr>
      <t xml:space="preserve">An AI‑generated interaction summarization capability that automatically produces concise, structured call or chat summaries for after‑call work, CRM updates, and
compliance documentation.
</t>
    </r>
    <r>
      <rPr>
        <b/>
        <sz val="11"/>
        <color rgb="FF000000"/>
        <rFont val="Aptos"/>
      </rPr>
      <t xml:space="preserve">Copilot
</t>
    </r>
    <r>
      <rPr>
        <sz val="11"/>
        <color rgb="FF000000"/>
        <rFont val="Aptos"/>
      </rPr>
      <t>An AI‑enabled assistant for agents and supervisors that delivers real‑time insights, recommendations, summaries, and performance guidance to improve
productivity, decision‑making, and coaching effectiveness.</t>
    </r>
  </si>
  <si>
    <t>Automating routine tasks reduces staffing needs and allows agents to focus on complex issues. While reducing average handle time and boosting overall efficiency.</t>
  </si>
  <si>
    <t>Immediate Available via CXONE. IBM will establish two regional instances of NICE CXOne and the proposed Chat/Secure Messaging and Conversational/AI-based IVR in North America and EMEA. 
Please refer to the Technology Integration Approach section of the *Insert PPT title* for additional details.</t>
  </si>
  <si>
    <t>Multi-Agent Conversational AI</t>
  </si>
  <si>
    <t>A multi-agent conversational solution orchestrates specialized AI agents to handle dynamic, multi-turn interactions that reflect how real customers communicate. It can manage multiple intents within a single conversation, shift context seamlessly, and coordinate actions across systems to drive end-to-end resolution rather than fragmented responses. This moves beyond scripted bots to adaptive, goal-oriented conversations that resolve complex customer needs.
IBM remains platform-agnostic and will recommend the solution that best aligns to the client’s objectives and architecture. Native platforms like Azure AI provide strong foundational capabilities, but typically require additional orchestration and design to achieve this level of multi-agent, multi-intent conversational depth.</t>
  </si>
  <si>
    <t>Contact Elimination</t>
  </si>
  <si>
    <t>1st use cases available in as soon as 4-6 weeks. Deployment has been aligned with transition plan to support globalization, training, and operational stability</t>
  </si>
  <si>
    <t>Agnostic (i.e., watsonxOrchestrate, Quant, Cognigy)</t>
  </si>
  <si>
    <t>5.4  Vendor Funded Technology Costs</t>
  </si>
  <si>
    <t xml:space="preserve">Summarize what you are willing to fund with regard to this Technology Transition from the Legacy TSYS technology stack to the FIS Technology stack. Please provide a cost breakdown of this effort. Add additional rows as needed. </t>
  </si>
  <si>
    <t>Cost Types</t>
  </si>
  <si>
    <t>Total to Be Funded by the Vendor
($M)</t>
  </si>
  <si>
    <t>IBM Investment - AI Initial Build</t>
  </si>
  <si>
    <t>IBM Investment - Advisory Council</t>
  </si>
  <si>
    <t>IBM Investment - Process SMEs</t>
  </si>
  <si>
    <t>IBM Investment - AI / Automation SMEs &amp; Data Scientists</t>
  </si>
  <si>
    <t>IBM Investment - AI Accelerators</t>
  </si>
  <si>
    <t>IBM Investment - Knowledge Center</t>
  </si>
  <si>
    <t>Total</t>
  </si>
  <si>
    <t>5.5 Technology Responsibility Matrix</t>
  </si>
  <si>
    <t xml:space="preserve">Populate a RACI of what TSYS/FIS will be responsible for and what you will be responsible for. Please augment the table as you see fit. </t>
  </si>
  <si>
    <t>Activity</t>
  </si>
  <si>
    <t>FIS TIS</t>
  </si>
  <si>
    <t>IBM</t>
  </si>
  <si>
    <t>Strategy &amp; Planning</t>
  </si>
  <si>
    <t>Business Requirements Definition</t>
  </si>
  <si>
    <t>x</t>
  </si>
  <si>
    <t>Technical Requirements Definition</t>
  </si>
  <si>
    <t>Architecture Design</t>
  </si>
  <si>
    <t xml:space="preserve">Migration Strategy </t>
  </si>
  <si>
    <t>Implementation Roadmap</t>
  </si>
  <si>
    <t>Environment Planning</t>
  </si>
  <si>
    <t>Design</t>
  </si>
  <si>
    <t>Application Configuration Design</t>
  </si>
  <si>
    <t>Integration Design</t>
  </si>
  <si>
    <t>Data Mapping Design</t>
  </si>
  <si>
    <t>Security and Controls Design</t>
  </si>
  <si>
    <t>Test Strategy Development</t>
  </si>
  <si>
    <t>Build &amp; Configuration</t>
  </si>
  <si>
    <t>Platform configuration</t>
  </si>
  <si>
    <t>Integration Development</t>
  </si>
  <si>
    <t>API Setup</t>
  </si>
  <si>
    <t>Workflow Configuration</t>
  </si>
  <si>
    <t>Automation Setup</t>
  </si>
  <si>
    <t>Reporting Configuration</t>
  </si>
  <si>
    <t>Testing</t>
  </si>
  <si>
    <t>Unit Testing</t>
  </si>
  <si>
    <t>System Integration Testing (SIT)</t>
  </si>
  <si>
    <t>Data Validation</t>
  </si>
  <si>
    <t>User Acceptance Testing (UAT)</t>
  </si>
  <si>
    <t>Performance Testing</t>
  </si>
  <si>
    <t>Security Testing</t>
  </si>
  <si>
    <t>Migration &amp; Cutover</t>
  </si>
  <si>
    <t>Data Migration Execution</t>
  </si>
  <si>
    <t>Parallel Run</t>
  </si>
  <si>
    <t>Cutover Planning</t>
  </si>
  <si>
    <t>Production Deployment</t>
  </si>
  <si>
    <t>Go-Live Support</t>
  </si>
  <si>
    <t>Stabilization</t>
  </si>
  <si>
    <t>Hypercare Support</t>
  </si>
  <si>
    <t>Incident Management</t>
  </si>
  <si>
    <t>Defect Remediation</t>
  </si>
  <si>
    <t>Performance Monitoring</t>
  </si>
  <si>
    <t>Ongoing Managed Services</t>
  </si>
  <si>
    <t>Project Management</t>
  </si>
  <si>
    <t>Dependendency Management</t>
  </si>
  <si>
    <t>Change Management</t>
  </si>
  <si>
    <t>Release Management</t>
  </si>
  <si>
    <t>Enhancement Management</t>
  </si>
  <si>
    <t>Continuous Improvement</t>
  </si>
  <si>
    <t>Platform Support</t>
  </si>
  <si>
    <t>6.0  Pricing</t>
  </si>
  <si>
    <t>All pricing in USD, exclusive of taxes. Four sections: (1) rate card for recurring operational costs by service and geography; (2) Fixed Fee Pricing; (3) One-time transition, Upfront Investments and Implementation costs; (4) Pricing Assumptions; (5) Productivity Assumptions. State all assumptions clearly. Itemize by service and geography throughout.</t>
  </si>
  <si>
    <t>6.1  Rate Card — Recurring Operations</t>
  </si>
  <si>
    <t>Provide your rate card for all recurring operational services. Price each sub-service by geography. Assume the unit is in hours. Where you cannot price a line item, state 'Included' or 'N/A' and explain in Assumptions.</t>
  </si>
  <si>
    <t>Service</t>
  </si>
  <si>
    <t>Sub Service</t>
  </si>
  <si>
    <t>North America
— Onshore</t>
  </si>
  <si>
    <t>North America
— Nearshore</t>
  </si>
  <si>
    <t>North America
— Offshore</t>
  </si>
  <si>
    <t>EMEA
— Onshore</t>
  </si>
  <si>
    <t>EMEA
— Nearshore</t>
  </si>
  <si>
    <t>EMEA
— Offshore</t>
  </si>
  <si>
    <t>Price/Unit ($)</t>
  </si>
  <si>
    <t>Tier 1 Customer Service</t>
  </si>
  <si>
    <t xml:space="preserve">IVR </t>
  </si>
  <si>
    <t xml:space="preserve">
We have provided fixed price managed services for the scope of work in section 6.3 onwards</t>
  </si>
  <si>
    <t>Multilingual</t>
  </si>
  <si>
    <t>Live Agent</t>
  </si>
  <si>
    <t>Loyalty</t>
  </si>
  <si>
    <t>Lost/Stolen</t>
  </si>
  <si>
    <t>After hours</t>
  </si>
  <si>
    <t>Tier 2 Risk Mitigation</t>
  </si>
  <si>
    <t>Fraud Detection</t>
  </si>
  <si>
    <t>Fraud Investigation</t>
  </si>
  <si>
    <t>Fraud Consulting</t>
  </si>
  <si>
    <t>Collections</t>
  </si>
  <si>
    <t>Skip Tracing</t>
  </si>
  <si>
    <t>Disputes &amp; Chargebacks</t>
  </si>
  <si>
    <t>Risk Call Center</t>
  </si>
  <si>
    <t>Credit</t>
  </si>
  <si>
    <t>Back Office</t>
  </si>
  <si>
    <t>Imaging</t>
  </si>
  <si>
    <t>Copy Requests</t>
  </si>
  <si>
    <t>Correspondence</t>
  </si>
  <si>
    <t>Application Processing</t>
  </si>
  <si>
    <t>Credit Bureau Updates</t>
  </si>
  <si>
    <t>Returned Mail</t>
  </si>
  <si>
    <t>Card Destruction</t>
  </si>
  <si>
    <t>Account Maintenance</t>
  </si>
  <si>
    <t>Accounting &amp; Settlement</t>
  </si>
  <si>
    <t>6.2 Annual Cost Escalation by Country</t>
  </si>
  <si>
    <t>State your assumed annual COLA percentage by country. Must be consistent with your rate card and fixed fee submissions.</t>
  </si>
  <si>
    <t>Annual COLA Assumption</t>
  </si>
  <si>
    <t>%</t>
  </si>
  <si>
    <t>Comments</t>
  </si>
  <si>
    <t>United States</t>
  </si>
  <si>
    <t>COLA has not been included in our current price and will be mutually agreed</t>
  </si>
  <si>
    <t>Canada</t>
  </si>
  <si>
    <t>Philippines</t>
  </si>
  <si>
    <t>United Kingdom</t>
  </si>
  <si>
    <t>Netherlands</t>
  </si>
  <si>
    <t>Germany</t>
  </si>
  <si>
    <r>
      <rPr>
        <b/>
        <sz val="11"/>
        <color rgb="FFFFFFFF"/>
        <rFont val="Aptos"/>
      </rPr>
      <t xml:space="preserve">6.3  Fixed Fee Pricing - </t>
    </r>
    <r>
      <rPr>
        <b/>
        <sz val="11"/>
        <color rgb="FFFF0000"/>
        <rFont val="Aptos"/>
      </rPr>
      <t xml:space="preserve">Quarter SWAP </t>
    </r>
  </si>
  <si>
    <t>Provide quarterly fixed fees for front office, back office, and vendor-funded technology credits over the contract term. Must reconcile to Tab 4.0 and Section 6.1.</t>
  </si>
  <si>
    <t>Year 1</t>
  </si>
  <si>
    <t>Year 2</t>
  </si>
  <si>
    <t>Year 3</t>
  </si>
  <si>
    <t>Year 4</t>
  </si>
  <si>
    <t>Year 5</t>
  </si>
  <si>
    <t>($M)</t>
  </si>
  <si>
    <t>Q1</t>
  </si>
  <si>
    <t>Q2</t>
  </si>
  <si>
    <t>Q3</t>
  </si>
  <si>
    <t>Q4</t>
  </si>
  <si>
    <t>Fixed Fee — For Front Office Operations</t>
  </si>
  <si>
    <t xml:space="preserve">Transaction Charges (Price per AI Interaction * Interactions) </t>
  </si>
  <si>
    <t>Fixed Fee — For Back Office Operations</t>
  </si>
  <si>
    <t>Vendor-Funded Technology Investment / Implementation Credit</t>
  </si>
  <si>
    <t>6.4  One-Time Transition, Upfront Investments &amp; Implementation Costs</t>
  </si>
  <si>
    <t xml:space="preserve">List all one-time costs. Itemize by cost type and geography. Clearly distinguish vendor-funded investment from costs borne by FIS. </t>
  </si>
  <si>
    <t>Cost Type</t>
  </si>
  <si>
    <t>Examples Below</t>
  </si>
  <si>
    <t>FIS Transition Costs (Training and Setup)</t>
  </si>
  <si>
    <t>6.5  Upfront Investment Conditions</t>
  </si>
  <si>
    <t>For each condition, confirm whether it applies to your proposed investment and provide the required threshold or value.</t>
  </si>
  <si>
    <t xml:space="preserve">Conditions for receiving one-time vendor cash payment </t>
  </si>
  <si>
    <t>Is this a condition (Y/N)</t>
  </si>
  <si>
    <t>Required value</t>
  </si>
  <si>
    <t>Is there a minimum volume requirement for NA scope of work, if yes provide % of total volume</t>
  </si>
  <si>
    <t>Is there a minimum volume requirement for EMEA scope of work, if yes provide % of total volume</t>
  </si>
  <si>
    <t>Is partial or complete rebadging (specified in section 3) a pre condition to this upfront investment?</t>
  </si>
  <si>
    <t>Minimum contract duration, if yes provide number of years</t>
  </si>
  <si>
    <t>Other: &lt;pls add additional rows as necessary&gt;</t>
  </si>
  <si>
    <t>6.6  Pricing Assumptions</t>
  </si>
  <si>
    <t>List all assumptions underpinning your pricing across all three sections above. Include: FTE volume assumptions, indexation methodology, how you have structured fixed vs. variable components, your fixed fee breakdown (front-office vs. back-office), any vendor-funded technology investment or implementation credit, and any deal sweeteners, transition credits, or gain-share mechanisms proposed.</t>
  </si>
  <si>
    <t>Assumptions</t>
  </si>
  <si>
    <r>
      <rPr>
        <sz val="12"/>
        <color rgb="FF161616"/>
        <rFont val="Aptos"/>
      </rPr>
      <t>Volume Fluctuation Rules​: A contractual baseline volume or baseline FTE level is established as the reference point for pricing and staffing.</t>
    </r>
    <r>
      <rPr>
        <sz val="12"/>
        <color rgb="FF000000"/>
        <rFont val="Aptos"/>
      </rPr>
      <t>​</t>
    </r>
  </si>
  <si>
    <r>
      <rPr>
        <sz val="12"/>
        <color rgb="FF161616"/>
        <rFont val="Aptos"/>
      </rPr>
      <t>Volume Fluctuation Rules​: A variance or tolerance band of ±10 percent is defined within which no pricing adjustment is required.</t>
    </r>
    <r>
      <rPr>
        <sz val="12"/>
        <color rgb="FF000000"/>
        <rFont val="Aptos"/>
      </rPr>
      <t>​</t>
    </r>
  </si>
  <si>
    <r>
      <rPr>
        <sz val="12"/>
        <color rgb="FF161616"/>
        <rFont val="Aptos"/>
      </rPr>
      <t>Volume Fluctuation Rules​: When actual volumes exceed the variance band, surge or overtime rates will apply to cover rapid staffing increases or extended operating hours.</t>
    </r>
    <r>
      <rPr>
        <sz val="12"/>
        <color rgb="FF000000"/>
        <rFont val="Aptos"/>
      </rPr>
      <t>​</t>
    </r>
  </si>
  <si>
    <t>4</t>
  </si>
  <si>
    <r>
      <rPr>
        <sz val="12"/>
        <color rgb="FF161616"/>
        <rFont val="Aptos"/>
      </rPr>
      <t>Volume Fluctuation Rules​: When volumes fall below the lower threshold, FIS remains responsible for the minimum volume commitment.</t>
    </r>
    <r>
      <rPr>
        <sz val="12"/>
        <color rgb="FF000000"/>
        <rFont val="Aptos"/>
      </rPr>
      <t>​</t>
    </r>
  </si>
  <si>
    <t>5</t>
  </si>
  <si>
    <r>
      <rPr>
        <sz val="12"/>
        <color rgb="FF161616"/>
        <rFont val="Aptos"/>
      </rPr>
      <t>Volume Fluctuation Rules​: A periodic true‑up process will be used (preferably monthly) to reconcile forecasted and actual volumes and adjust billing accordingly.</t>
    </r>
    <r>
      <rPr>
        <sz val="12"/>
        <color rgb="FF000000"/>
        <rFont val="Aptos"/>
      </rPr>
      <t>​</t>
    </r>
  </si>
  <si>
    <t>6</t>
  </si>
  <si>
    <r>
      <rPr>
        <sz val="12"/>
        <color rgb="FF161616"/>
        <rFont val="Aptos"/>
      </rPr>
      <t>Volume Fluctuation Rules​: Service level obligations will be reviewed and temporarily adjusted if volumes significantly deviate from forecasted levels.</t>
    </r>
    <r>
      <rPr>
        <sz val="12"/>
        <color rgb="FF000000"/>
        <rFont val="Aptos"/>
      </rPr>
      <t>​</t>
    </r>
  </si>
  <si>
    <t>7</t>
  </si>
  <si>
    <r>
      <rPr>
        <sz val="12"/>
        <color rgb="FF161616"/>
        <rFont val="Aptos"/>
      </rPr>
      <t>New Sales / New Business Rules​: New lines of business or incremental volumes are priced based on a pre‑defined rate card that outlines volume based rates for various skills and channels.</t>
    </r>
    <r>
      <rPr>
        <sz val="12"/>
        <color rgb="FF000000"/>
        <rFont val="Aptos"/>
      </rPr>
      <t>​</t>
    </r>
  </si>
  <si>
    <t>8</t>
  </si>
  <si>
    <r>
      <rPr>
        <sz val="12"/>
        <color rgb="FF161616"/>
        <rFont val="Aptos"/>
      </rPr>
      <t>New Sales / New Business Rules​: New lines of business or incremental volumes are priced based on a pre‑defined rate card that outlines volume based rates for various skills and channels.​Onboarding, training, knowledge‑transfer activities and ramp-upfor new business are charged separately as transition fees.</t>
    </r>
    <r>
      <rPr>
        <sz val="12"/>
        <color rgb="FF000000"/>
        <rFont val="Aptos"/>
      </rPr>
      <t>​</t>
    </r>
  </si>
  <si>
    <t>9</t>
  </si>
  <si>
    <r>
      <rPr>
        <sz val="12"/>
        <color rgb="FF161616"/>
        <rFont val="Aptos"/>
      </rPr>
      <t>New Sales / New Business Rules​: New lines of business or incremental volumes are priced based on a pre‑defined rate card that outlines volume based rates for various skills and channels.​Additional technology requirements such as CRM licenses, telephony seats, or integrations are treated as pass‑through costs.</t>
    </r>
    <r>
      <rPr>
        <sz val="12"/>
        <color rgb="FF000000"/>
        <rFont val="Aptos"/>
      </rPr>
      <t>​</t>
    </r>
  </si>
  <si>
    <t>10</t>
  </si>
  <si>
    <r>
      <rPr>
        <sz val="12"/>
        <color rgb="FF161616"/>
        <rFont val="Aptos"/>
      </rPr>
      <t>New Sales / New Business Rules​: New lines of business or incremental volumes are priced based on a pre‑defined rate card that outlines volume based rates for various skills and channels.​A formal lead time is required for volume increases to allow IBM to hire, train, and operationalize resources without premium charges.</t>
    </r>
    <r>
      <rPr>
        <sz val="12"/>
        <color rgb="FF000000"/>
        <rFont val="Aptos"/>
      </rPr>
      <t>​</t>
    </r>
  </si>
  <si>
    <t>11</t>
  </si>
  <si>
    <r>
      <rPr>
        <sz val="12"/>
        <color rgb="FF161616"/>
        <rFont val="Aptos"/>
      </rPr>
      <t>Attrition Rules: Minimum volume are defined to ensure cost recovery even when actual demand declines.</t>
    </r>
    <r>
      <rPr>
        <sz val="12"/>
        <color rgb="FF000000"/>
        <rFont val="Aptos"/>
      </rPr>
      <t>​</t>
    </r>
  </si>
  <si>
    <t>12</t>
  </si>
  <si>
    <r>
      <rPr>
        <sz val="12"/>
        <color rgb="FF161616"/>
        <rFont val="Aptos"/>
      </rPr>
      <t>Attrition Rules: Minimum volume are defined to ensure cost recovery even when actual demand declines.​Reductions in volume must follow a controlled ramp‑down schedule, often limiting quarterly headcount decreases.</t>
    </r>
    <r>
      <rPr>
        <sz val="12"/>
        <color rgb="FF000000"/>
        <rFont val="Aptos"/>
      </rPr>
      <t>​</t>
    </r>
  </si>
  <si>
    <t>13</t>
  </si>
  <si>
    <r>
      <rPr>
        <sz val="12"/>
        <color rgb="FF161616"/>
        <rFont val="Aptos"/>
      </rPr>
      <t>Attrition Rules: Minimum volume are defined to ensure cost recovery even when actual demand declines.​Advance notice of at least 60 days is required before any volume or scope reduction to allow IBM to manage staffing transitions.</t>
    </r>
    <r>
      <rPr>
        <sz val="12"/>
        <color rgb="FF000000"/>
        <rFont val="Aptos"/>
      </rPr>
      <t>​</t>
    </r>
  </si>
  <si>
    <t>14</t>
  </si>
  <si>
    <r>
      <rPr>
        <sz val="12"/>
        <color rgb="FF161616"/>
        <rFont val="Aptos"/>
      </rPr>
      <t>Attrition Rules: Minimum volume are defined to ensure cost recovery even when actual demand declines.​Early attrition or premature ramp‑down may trigger fees to recover recruitment, training, or infrastructure costs already incurred.</t>
    </r>
    <r>
      <rPr>
        <sz val="12"/>
        <color rgb="FF000000"/>
        <rFont val="Aptos"/>
      </rPr>
      <t>​</t>
    </r>
  </si>
  <si>
    <t>15</t>
  </si>
  <si>
    <r>
      <rPr>
        <sz val="12"/>
        <color rgb="FF161616"/>
        <rFont val="Aptos"/>
      </rPr>
      <t>Attrition Rules: Minimum volume are defined to ensure cost recovery even when actual demand declines.​If volumes fall significantly, unit rates may be recalculated, as fixed costs must be distributed across a smaller volume base.</t>
    </r>
    <r>
      <rPr>
        <sz val="12"/>
        <color rgb="FF000000"/>
        <rFont val="Aptos"/>
      </rPr>
      <t>​</t>
    </r>
  </si>
  <si>
    <t>16</t>
  </si>
  <si>
    <t>Attrition Rules: Minimum volume are defined to ensure cost recovery even when actual demand declines.​Service level requirements will be revised to reflect the smaller operational footprint.</t>
  </si>
  <si>
    <t>Section 6.7 — 5-Year Financial Summary</t>
  </si>
  <si>
    <t>Summarize the total cost of the proposed engagement over the contract term. All figures in USD millions. This table will be used to calculate Total Contract Value and net savings versus FIS's cost baseline. Figures must be consistent with pricing submitted in Sections 6.1–6.3 above. Efficiency savings figures in this table must reconcile directly to commitments stated in Tab 5.0 Technology Solution. Any discrepancy between this table and Tab 5.0 must be explained in Section 6.4 Pricing Assumptions.</t>
  </si>
  <si>
    <t>Cost Category</t>
  </si>
  <si>
    <t>North America Direct Costs</t>
  </si>
  <si>
    <t>EMEA Direct Costs</t>
  </si>
  <si>
    <t>Total Annual Cost ($M)</t>
  </si>
  <si>
    <t>Savings (%)*</t>
  </si>
  <si>
    <t>*Reflects OPEX savings (%) against 2025 actual spend</t>
  </si>
  <si>
    <t>7.0  Client Migration Planning</t>
  </si>
  <si>
    <t>A de-identified client dataset will be provided alongside this RFP. A migration wave is a defined group of clients that will transition to the new operating model together, with a shared go-live date and dual-run period. (1) Using the supplemental data provided, please architect waves of clients/queues/locations/ regions and articulate the rationale. (2) Use the Wave Summary below to plot your wave against time. (3) Define a RACI for the Client Migration efforts.</t>
  </si>
  <si>
    <t>7.1  Client Migration Wave Design</t>
  </si>
  <si>
    <t>Part 1 — Wave Composition: For each wave, list which client cohorts are included, explaining what criteria drove the grouping; for all clients, specify which client is mapped to each wave.  FIS has intentionally not prescribed a wave structure or grouping methodology. We expect vendors to analyze the client dataset provided and propose the wave design they believe is most operationally sound for an engagement of this complexity. There is no correct number of waves. Responses that demonstrate genuine analytical thinking about client risk, regulatory complexity, volume sequencing, and transition readiness will be evaluated more favorably than generic frameworks.</t>
  </si>
  <si>
    <t>Wave #</t>
  </si>
  <si>
    <t>Client Name</t>
  </si>
  <si>
    <t>Wave Assignment
Rationale</t>
  </si>
  <si>
    <t>Key Migration
Risks &amp; Mitigations</t>
  </si>
  <si>
    <t>Additional Wave Considerations</t>
  </si>
  <si>
    <t>Wave 1</t>
  </si>
  <si>
    <t>Client X</t>
  </si>
  <si>
    <t>Vendor to provide rationale</t>
  </si>
  <si>
    <t>Vendor to identify</t>
  </si>
  <si>
    <t>Philippine Rebadge Wave</t>
  </si>
  <si>
    <t>NA-9</t>
  </si>
  <si>
    <t>Clients associated with Philippine delivery team that will be rebadged</t>
  </si>
  <si>
    <t>Risk: Personnel do not accept re-badge offer.
Migitation: Provide compelling rational to accept re-badge offer</t>
  </si>
  <si>
    <t>UK Rebadge Wave</t>
  </si>
  <si>
    <t>EMEA-UK-1 - EMEA-UK-7</t>
  </si>
  <si>
    <t>Clients associated with UK delivery team that will be rebadged</t>
  </si>
  <si>
    <t>Additional risk: Transition must include enough time to deal with UK regulatory requirements pertaining to re-badging.</t>
  </si>
  <si>
    <t>NA-1</t>
  </si>
  <si>
    <t>Balance appropriate effort with number of clients in wave.  Rationalize amount of work being taken on to minimize business risk</t>
  </si>
  <si>
    <t>Risk: Loss of critical knowledge due to early attrition of personnel.
Migitation: Work with FIS to provide appropriate incentives for personnel to be retained.  Early capture of process knowledge through use of IBM's Cobee tool.</t>
  </si>
  <si>
    <t>Wave 2</t>
  </si>
  <si>
    <t>NA-2, NA-3</t>
  </si>
  <si>
    <t>Wave 3</t>
  </si>
  <si>
    <t>NA-4 - NA-6</t>
  </si>
  <si>
    <t>Wave 4</t>
  </si>
  <si>
    <t>NA-7 - NA-10</t>
  </si>
  <si>
    <t xml:space="preserve">Wave 5 </t>
  </si>
  <si>
    <t>NA-11 - NA-15</t>
  </si>
  <si>
    <t>Wave 6</t>
  </si>
  <si>
    <t>NA-16 - NA-21</t>
  </si>
  <si>
    <t>Wave 7</t>
  </si>
  <si>
    <t>NA-22 - NA-30</t>
  </si>
  <si>
    <t>Wave 8</t>
  </si>
  <si>
    <t>NA-31 - NA-40</t>
  </si>
  <si>
    <t xml:space="preserve">Wave 9 </t>
  </si>
  <si>
    <t>NA-41 - NA-53</t>
  </si>
  <si>
    <t>Wave 10</t>
  </si>
  <si>
    <t>NA-55 - NA-58</t>
  </si>
  <si>
    <t>Wave 11</t>
  </si>
  <si>
    <t>EMEA-Germany-1 Customer Sevice</t>
  </si>
  <si>
    <t xml:space="preserve"> For German scope, given large number of staff supporting Services, we will transition in Service Clusters</t>
  </si>
  <si>
    <t>Additional risk: Transition must include enough time to deal with EU regulatory requirements pertaining to movement of work.
Wave is longer due to EU regulatory requirements and time to hire resources</t>
  </si>
  <si>
    <t>Wave 12</t>
  </si>
  <si>
    <t>EMEA-Germany-1 Risk Management</t>
  </si>
  <si>
    <t>Wave 13</t>
  </si>
  <si>
    <t>EMEA-Germany-1 Tier 2</t>
  </si>
  <si>
    <t>Wave 14</t>
  </si>
  <si>
    <t>EMEA-Dutch-1</t>
  </si>
  <si>
    <t>For Dutch scope, we will transition by client and service to minimize change management &amp; communication related to each client</t>
  </si>
  <si>
    <t>Wave 15</t>
  </si>
  <si>
    <t>EMEA-Dutch-2</t>
  </si>
  <si>
    <t>(Add additional rows as desired)</t>
  </si>
  <si>
    <t>7.2  Migration Wave Migration Plan</t>
  </si>
  <si>
    <t xml:space="preserve">Part 2 — Wave Timeline: For each wave, state the proposed start date, go-live date, and dual-run duration. Please visually differentiate between the migration and dual run periods, if applicable. FIS has intentionally not prescribed a wave structure or grouping methodology. We expect vendors to analyze the client dataset provided and propose the wave design they believe is most operationally sound for an engagement of this complexity. There is no correct number of waves. Responses that demonstrate genuine analytical thinking about client risk, regulatory complexity, volume sequencing, and transition readiness will be evaluated more favorably than generic frameworks. </t>
  </si>
  <si>
    <t>Wave</t>
  </si>
  <si>
    <t>Philippine Rebage Wave</t>
  </si>
  <si>
    <t>Wave Start &amp; Go Live</t>
  </si>
  <si>
    <t>No dual run due re-badging of existing personnel</t>
  </si>
  <si>
    <t>All Migration activities are completed by end of Q1 of Year 2</t>
  </si>
  <si>
    <t>Go Live</t>
  </si>
  <si>
    <t xml:space="preserve">Wave Start </t>
  </si>
  <si>
    <t>Go Live &amp; Dual Run</t>
  </si>
  <si>
    <t xml:space="preserve">Go Live  </t>
  </si>
  <si>
    <t>Dual Run First Month of Q3</t>
  </si>
  <si>
    <t>Wave Start</t>
  </si>
  <si>
    <t>Dual Run First Month of Q1</t>
  </si>
  <si>
    <t>Wave Execution</t>
  </si>
  <si>
    <t>7.3 Client Migration Responsibility Matrix</t>
  </si>
  <si>
    <t>Populate a RACI of what TSYS/FIS will be responsible for and what you will be responsible for; FIS has not pre-populated this RACI. Vendors are expected to propose the full activity list they believe is required to execute a migration of this scale, and to assign responsibility accordingly. Responses should reflect your actual delivery methodology — not a generic RACI template. Activities should cover at minimum: client readiness, knowledge transfer, dual-run management, cutover approval, stabilization, and hypercare exit. Add rows as needed.</t>
  </si>
  <si>
    <r>
      <t>Migration Phase</t>
    </r>
    <r>
      <rPr>
        <b/>
        <sz val="12"/>
        <color rgb="FFFFFFFF"/>
        <rFont val="Aptos"/>
        <family val="2"/>
      </rPr>
      <t>​</t>
    </r>
  </si>
  <si>
    <r>
      <t>Activity</t>
    </r>
    <r>
      <rPr>
        <b/>
        <sz val="12"/>
        <color rgb="FFFFFFFF"/>
        <rFont val="Aptos"/>
        <family val="2"/>
      </rPr>
      <t>​</t>
    </r>
  </si>
  <si>
    <r>
      <t>IBM</t>
    </r>
    <r>
      <rPr>
        <b/>
        <sz val="12"/>
        <color rgb="FFFFFFFF"/>
        <rFont val="Aptos"/>
        <family val="2"/>
      </rPr>
      <t>​</t>
    </r>
  </si>
  <si>
    <r>
      <t>Initiate</t>
    </r>
    <r>
      <rPr>
        <sz val="11"/>
        <color rgb="FF000000"/>
        <rFont val="Aptos"/>
        <family val="2"/>
      </rPr>
      <t>​</t>
    </r>
  </si>
  <si>
    <t>Project Kick Off​</t>
  </si>
  <si>
    <r>
      <t>R</t>
    </r>
    <r>
      <rPr>
        <b/>
        <sz val="9.9499999999999993"/>
        <color rgb="FF000000"/>
        <rFont val="Aptos"/>
        <family val="2"/>
      </rPr>
      <t xml:space="preserve"> </t>
    </r>
    <r>
      <rPr>
        <b/>
        <sz val="9.9499999999999993"/>
        <color rgb="FF4BCD3E"/>
        <rFont val="Aptos"/>
        <family val="2"/>
      </rPr>
      <t>A</t>
    </r>
    <r>
      <rPr>
        <sz val="9.9499999999999993"/>
        <color rgb="FF000000"/>
        <rFont val="Aptos"/>
        <family val="2"/>
      </rPr>
      <t>​</t>
    </r>
  </si>
  <si>
    <r>
      <t>C</t>
    </r>
    <r>
      <rPr>
        <b/>
        <sz val="9.9499999999999993"/>
        <color rgb="FF000000"/>
        <rFont val="Aptos"/>
        <family val="2"/>
      </rPr>
      <t xml:space="preserve">, </t>
    </r>
    <r>
      <rPr>
        <b/>
        <sz val="9.9499999999999993"/>
        <color rgb="FF05A399"/>
        <rFont val="Aptos"/>
        <family val="2"/>
      </rPr>
      <t>I</t>
    </r>
    <r>
      <rPr>
        <sz val="9.9499999999999993"/>
        <color rgb="FF000000"/>
        <rFont val="Aptos"/>
        <family val="2"/>
      </rPr>
      <t>​</t>
    </r>
  </si>
  <si>
    <t>Stakeholder Identification​</t>
  </si>
  <si>
    <r>
      <t>C</t>
    </r>
    <r>
      <rPr>
        <b/>
        <sz val="9.9499999999999993"/>
        <color rgb="FF000000"/>
        <rFont val="Aptos"/>
        <family val="2"/>
      </rPr>
      <t xml:space="preserve"> </t>
    </r>
    <r>
      <rPr>
        <b/>
        <sz val="9.9499999999999993"/>
        <color rgb="FF05A399"/>
        <rFont val="Aptos"/>
        <family val="2"/>
      </rPr>
      <t>I</t>
    </r>
    <r>
      <rPr>
        <sz val="9.9499999999999993"/>
        <color rgb="FF000000"/>
        <rFont val="Aptos"/>
        <family val="2"/>
      </rPr>
      <t>​</t>
    </r>
  </si>
  <si>
    <r>
      <t>R</t>
    </r>
    <r>
      <rPr>
        <b/>
        <sz val="9.9499999999999993"/>
        <color rgb="FF000000"/>
        <rFont val="Aptos"/>
        <family val="2"/>
      </rPr>
      <t xml:space="preserve">, </t>
    </r>
    <r>
      <rPr>
        <b/>
        <sz val="9.9499999999999993"/>
        <color rgb="FF4BCD3E"/>
        <rFont val="Aptos"/>
        <family val="2"/>
      </rPr>
      <t>A</t>
    </r>
    <r>
      <rPr>
        <sz val="9.9499999999999993"/>
        <color rgb="FF000000"/>
        <rFont val="Aptos"/>
        <family val="2"/>
      </rPr>
      <t>​</t>
    </r>
  </si>
  <si>
    <t>Requirement Gathering​</t>
  </si>
  <si>
    <t>Detailed Project Plan &amp; Timeline Creation​</t>
  </si>
  <si>
    <r>
      <t>Design and Develop</t>
    </r>
    <r>
      <rPr>
        <sz val="11"/>
        <color rgb="FF000000"/>
        <rFont val="Aptos"/>
        <family val="2"/>
      </rPr>
      <t>​</t>
    </r>
  </si>
  <si>
    <t>Develop Process Workshop Plan and Schedule​</t>
  </si>
  <si>
    <t>Define SME Participants from FIS​</t>
  </si>
  <si>
    <t>Conduct Process Workshops​</t>
  </si>
  <si>
    <t>Document Processes in Process Maps​</t>
  </si>
  <si>
    <t>Review and Approve Process Maps​</t>
  </si>
  <si>
    <r>
      <t>Knowledge Transfer</t>
    </r>
    <r>
      <rPr>
        <sz val="12"/>
        <color rgb="FF000000"/>
        <rFont val="Aptos"/>
        <family val="2"/>
      </rPr>
      <t>​</t>
    </r>
  </si>
  <si>
    <t>Identify FIS Participated for Knowledge Transfer​</t>
  </si>
  <si>
    <t>Grant System Access to IBM SMEs and KT Participants​</t>
  </si>
  <si>
    <t>Conduct Knowledge Transfer Sessions​</t>
  </si>
  <si>
    <t>Create Detailed Desktop Procedures​</t>
  </si>
  <si>
    <t>Approve IBM Created Desktop Procedures​</t>
  </si>
  <si>
    <r>
      <t>Go-Live and Ramp-Up</t>
    </r>
    <r>
      <rPr>
        <sz val="12"/>
        <color rgb="FF000000"/>
        <rFont val="Aptos"/>
        <family val="2"/>
      </rPr>
      <t>​</t>
    </r>
  </si>
  <si>
    <t>Build Detailed Go-Live Plan​</t>
  </si>
  <si>
    <t>Assign each IBM Delivery Personnel their Operational Role​</t>
  </si>
  <si>
    <t>Grant System Access to all IBM Delivery Personnel​</t>
  </si>
  <si>
    <r>
      <t xml:space="preserve">R </t>
    </r>
    <r>
      <rPr>
        <b/>
        <sz val="9.9499999999999993"/>
        <color rgb="FF4BCD3E"/>
        <rFont val="Aptos"/>
        <family val="2"/>
      </rPr>
      <t>A</t>
    </r>
    <r>
      <rPr>
        <sz val="9.9499999999999993"/>
        <color rgb="FF000000"/>
        <rFont val="Aptos"/>
        <family val="2"/>
      </rPr>
      <t>​</t>
    </r>
  </si>
  <si>
    <t>Evaluate Operational Readiness​</t>
  </si>
  <si>
    <r>
      <t>R</t>
    </r>
    <r>
      <rPr>
        <b/>
        <sz val="9.9499999999999993"/>
        <color rgb="FF000000"/>
        <rFont val="Aptos"/>
        <family val="2"/>
      </rPr>
      <t xml:space="preserve"> </t>
    </r>
    <r>
      <rPr>
        <b/>
        <sz val="9.9499999999999993"/>
        <color rgb="FF4BCD3E"/>
        <rFont val="Aptos"/>
        <family val="2"/>
      </rPr>
      <t xml:space="preserve">A </t>
    </r>
    <r>
      <rPr>
        <sz val="9.9499999999999993"/>
        <color rgb="FF000000"/>
        <rFont val="Aptos"/>
        <family val="2"/>
      </rPr>
      <t>​</t>
    </r>
  </si>
  <si>
    <t>Certify Each IBM Delivery Personnel is Ready to Operate​</t>
  </si>
  <si>
    <t>Determine Go or No Go​</t>
  </si>
  <si>
    <t>Conduct Go Live​</t>
  </si>
  <si>
    <r>
      <t>Hypercare</t>
    </r>
    <r>
      <rPr>
        <sz val="11"/>
        <color rgb="FF000000"/>
        <rFont val="Aptos"/>
        <family val="2"/>
      </rPr>
      <t>​</t>
    </r>
  </si>
  <si>
    <t>Assess Operational Stability​</t>
  </si>
  <si>
    <t>Identify Improvement Actions​</t>
  </si>
  <si>
    <t>Implement Operational Reporting​</t>
  </si>
  <si>
    <t>Identify Key Stakeholders for Operational Governance​</t>
  </si>
  <si>
    <t>Implement Operational Governance​</t>
  </si>
  <si>
    <t>Conduct Targeted Education for Operational Personnel as needed​</t>
  </si>
  <si>
    <r>
      <t>R</t>
    </r>
    <r>
      <rPr>
        <b/>
        <sz val="9.9499999999999993"/>
        <color rgb="FF000000"/>
        <rFont val="Aptos"/>
        <family val="2"/>
      </rPr>
      <t xml:space="preserve"> </t>
    </r>
    <r>
      <rPr>
        <b/>
        <sz val="9.9499999999999993"/>
        <color rgb="FF4BCD3E"/>
        <rFont val="Aptos"/>
        <family val="2"/>
      </rPr>
      <t>A</t>
    </r>
    <r>
      <rPr>
        <b/>
        <sz val="9.9499999999999993"/>
        <color rgb="FF000000"/>
        <rFont val="Aptos"/>
        <family val="2"/>
      </rPr>
      <t xml:space="preserve"> </t>
    </r>
    <r>
      <rPr>
        <sz val="9.9499999999999993"/>
        <color rgb="FF000000"/>
        <rFont val="Aptos"/>
        <family val="2"/>
      </rPr>
      <t>​</t>
    </r>
  </si>
  <si>
    <r>
      <t>Migration Exit and Stabilization</t>
    </r>
    <r>
      <rPr>
        <sz val="11"/>
        <color rgb="FF000000"/>
        <rFont val="Aptos"/>
        <family val="2"/>
      </rPr>
      <t>​</t>
    </r>
  </si>
  <si>
    <t>Stabilization Operations​</t>
  </si>
  <si>
    <t>Finalize all Migration Documentation​</t>
  </si>
  <si>
    <t>Begin SLA Reporting​</t>
  </si>
  <si>
    <t>Begin Quarterly Business Reviews​</t>
  </si>
  <si>
    <t>Exit Migration Phase and Enter Steady State Delivery​</t>
  </si>
  <si>
    <t>Acronym (Role)</t>
  </si>
  <si>
    <t>Definition</t>
  </si>
  <si>
    <t>R (responsible)</t>
  </si>
  <si>
    <t>This team is responsible for leading and executing the activity.</t>
  </si>
  <si>
    <t>A (accountable)</t>
  </si>
  <si>
    <t>This team must ensure that the activity is completed.  Only one team can be accountable for an activity.  A team can be both accountable for an activity and responsible to execute an activity or consult in the execution of the activity.  </t>
  </si>
  <si>
    <t>C (consulted)</t>
  </si>
  <si>
    <t>One or more team(s) may be consulted.  Consulted is defined as providing guidance or participating in the execution of an activity (support / inputs to execute the activity).</t>
  </si>
  <si>
    <t>I (informed)</t>
  </si>
  <si>
    <t>One or more team(s) may be informed.</t>
  </si>
  <si>
    <t>S (signoff)</t>
  </si>
  <si>
    <t>The team must provide sign-off.</t>
  </si>
  <si>
    <t>7.4 Transformation Assumptions</t>
  </si>
  <si>
    <t>At a per client level, what is the commitment from the vendor on offshore to onshore mix, consequent labor arbitrage %, cost reduction from AI &amp; Digital Overlays, cost reduction from Productivity gains</t>
  </si>
  <si>
    <t>Offshore to Onshore Mix</t>
  </si>
  <si>
    <t>Consequent Labor Arbitrage %</t>
  </si>
  <si>
    <t>Cost Reduction from AI &amp; Digital Overlays %</t>
  </si>
  <si>
    <t>Cost Reduction from Productivity Gains %</t>
  </si>
  <si>
    <t>Commitment to Certainty of Cost Savings as a %</t>
  </si>
  <si>
    <t>US &amp; Canada Clients Clients</t>
  </si>
  <si>
    <t>100% / 0%</t>
  </si>
  <si>
    <t>80-90%*</t>
  </si>
  <si>
    <t>Netherlands Clients</t>
  </si>
  <si>
    <t>Germany Clients</t>
  </si>
  <si>
    <t>United Kingdom Clients</t>
  </si>
  <si>
    <t>0% / 100% (Militon Keynes</t>
  </si>
  <si>
    <t>Philippines Clients</t>
  </si>
  <si>
    <t>0% / 100% (Rebadge Existing PHL FTEs)</t>
  </si>
  <si>
    <t>*based on stated assumptions</t>
  </si>
  <si>
    <t>8.0  Regulatory Compliance</t>
  </si>
  <si>
    <t>For each requirement listed in Column C, provide your response in Column D. Responses should be specific to this engagement and the regulatory environments in scope. Where certifications or formal frameworks apply, state them.</t>
  </si>
  <si>
    <t>8.1 Transformation Assumptions</t>
  </si>
  <si>
    <t>Regulatory Area</t>
  </si>
  <si>
    <t>Specific Requirement</t>
  </si>
  <si>
    <t>Vendor Response — How Your Solution Meets This Requirement</t>
  </si>
  <si>
    <t>4th Party Outsourcing</t>
  </si>
  <si>
    <t>Disclose all sub-contractors by name, location, and scope. Confirm SLA flow-down and FIS audit rights over all 4th parties.</t>
  </si>
  <si>
    <t>All resources deployed for this engagment will be IBM employees. We don't plan to use any IBM contractual labor for this engagement</t>
  </si>
  <si>
    <t>Describe your internal governance model for monitoring sub-contractor performance and compliance.</t>
  </si>
  <si>
    <t>Not applicable based on above response</t>
  </si>
  <si>
    <t>Offshoring &amp; Nearshoring</t>
  </si>
  <si>
    <t>Confirm cardholder data will not leave approved jurisdictions without explicit client consent. Describe data residency controls.</t>
  </si>
  <si>
    <t>Confirmed. IBM has proposed two regional instances (NA and EMEA). 
Data will remain FIS/FIS Client property. While operational data will be stored in NICE, IBM understands that FIS will maintain ownership of client data, CRM records, and credit card or PII information that will not be stored by IBM.</t>
  </si>
  <si>
    <t>Describe the regulatory notification process before offshoring commences (e.g. FCA Principal 11 notification — UK; WARN Act — US). Confirm who is responsible for filings.</t>
  </si>
  <si>
    <t>IBM follows a formal, structured regulatory notification process to ensure all offshoring activities comply with applicable laws, industry regulations, and regional requirements before implementation. This process is coordinated by the IBM Regulatory Compliance (IRC) team in partnership with IBM Legal, the IBM Risk, Compliance and Integrity team, and designated Business Unit subject matter experts.</t>
  </si>
  <si>
    <t>Describe your approach to clients with explicit offshore restrictions in their current TMS contracts.</t>
  </si>
  <si>
    <t>IBM takes a controlled, client‑centric approach when supporting clients whose TMS contracts contain explicit offshore restrictions. Our goal is to ensure full contractual compliance while maintaining secure and compliant service delivery. When offshore restrictions are in place due to regulatory, contractual, or operational requirements, IBM applies the following practices:
• Localization of processing: Where a client’s contract specifies that certain data or processes must remain onshore, IBM ensures that all processing, storage, and support activities remain strictly within the approved geography. No offshore engagement is initiated unless explicitly permitted by the contract and the client.
• Restrictions on data transfer: If offshore restrictions prohibit the movement of personal or sensitive information outside the client‑approved jurisdiction, IBM ensures all systems, personnel, and workflows are architected to prevent any cross‑border transfer. Technical and administrative controls support this, including access restrictions, network segmentation, and region‑locked environments.
• Cross‑border transfer governance: If the client later requests or considers exceptions to offshore restrictions, IBM provides guidance on regulatory requirements, consent, or impact assessments that may be necessary. However, no offshore transfer or processing is implemented without written client approval and confirmed contractual alignment.
• Data retention and handling: IBM processes and retains client data only as instructed under the client’s TMS contract and Data Processing Agreement. Where contractual restrictions require that data be stored within a certain region or be deleted after a specific period, IBM adheres strictly to those requirements.
• Client responsibility and oversight: The client retains primary responsibility for determining whether offshore activities align with their contractual, regulatory, and risk obligations. IBM supports compliance by following the client’s instructions and providing any required operational detail to facilitate their assessments or approvals.
• Use of standardized contractual terms: Where offshore restrictions require explicit provisions or standardized language for any permitted cross‑border data movement, IBM incorporates approved model clauses or equivalents, pending client review and agreement.
IBM’s approach emphasizes strict adherence to onshore requirements, transparent communication, and a governance model that ensures that offshore restrictions defined in the client’s TMS contract are upheld without exception.</t>
  </si>
  <si>
    <t>Customer PII, GDPR &amp; Privacy</t>
  </si>
  <si>
    <t>GDPR — confirm DPA agreements, data processor obligations, cross-border transfer mechanisms, and breach notification procedures (including SLA to notify FIS).</t>
  </si>
  <si>
    <t xml:space="preserve">IBM acts as a Data Processor under GDPR and processes personal data solely on the documented instructions of the client, unless legally required otherwise. The scope of processing, permitted uses, and data‑handling obligations are defined and governed through the IBM Data Processing Addendum (DPA), the accompanying DPA Exhibit, and the client’s configuration and use of the contracted services.
Data Processor obligations:
• IBM processes personal data only as instructed by the client.
• IBM implements appropriate technical and organizational measures to protect personal data, including access control, encryption, monitoring, and security governance aligned with GDPR Article 28 requirements.
• IBM retains or deletes personal data only in accordance with the client’s instructions or as required by law. IBM does not independently determine what data is necessary for the client’s purposes or delete data without explicit instruction if the client cannot perform the deletion themselves.
• IBM ensures personnel with access to personal data are bound by confidentiality and are trained on GDPR obligations.
• IBM supports the client with GDPR compliance needs, including supporting DPIAs, responding to data subject rights requests (when applicable), and facilitating audits required under the DPA.
Cross‑border transfer mechanisms:
Where international transfers are required and approved by the client, IBM uses GDPR‑compliant transfer mechanisms. These include:
• EU Standard Contractual Clauses (SCCs) for international data transfers.
• Supplementary measures where required to ensure appropriate levels of protection.
• Regional hosting options to avoid cross‑border transfers when clients elect or require in‑region processing.
No cross‑border transfers are performed unless explicitly permitted under the client’s instructions and the applicable DPA.
Breach notification procedures:
IBM maintains a formal incident detection, escalation, and response process.
• In the event of a confirmed personal data breach affecting the client’s personal data, IBM notifies the client without undue delay, as required under GDPR Article 33.
• IBM can align with client‑specific notification SLAs, including any FIS‑mandated timeframes, and typically provides initial notification within the contracted SLA window.
• Notifications include available details about the nature of the breach, data affected, mitigation steps taken, and ongoing remediation actions.
DPA agreements:
• All processing of personal data is governed by the IBM DPA, which incorporates GDPR requirements and defines responsibilities between IBM (as Processor) and the client (as Controller).
• The DPA remains a mandatory component of the contractual relationship for any service involving personal data.
This framework ensures IBM meets GDPR processor obligations, maintains secure and compliant data handling, and provides timely breach notifications consistent with FIS requirements.
</t>
  </si>
  <si>
    <t>US cardholder data — confirm CCPA compliance and your approach to state-level privacy law variation.</t>
  </si>
  <si>
    <t>IBM maintains comprehensive global data privacy policies and standards governing the collection, use, storage, retention, disclosure, and protection of personal information, including US cardholder data. These standards are designed to ensure compliance with federal requirements as well as state‑level laws such as the California Consumer Privacy Act (CCPA) and the California Privacy Rights Act (CPRA).
CCPA/CPRA compliance:
• IBM acts as a “Service Provider” when processing US cardholder data on behalf of clients and processes data only for permissible business purposes defined in the contract.
• IBM does not use client data for cross‑context behavioral advertising or any purpose outside the agreed scope.
• IBM supports CCPA/CPRA requirements related to data minimization, purpose limitation, secure handling, and consumer rights fulfillment. Any consumer rights requests received by IBM are escalated to the client (as the Business) in accordance with contractual obligations.
• IBM conducts regular internal audits and third‑party reviews to validate adherence to privacy standards and state‑level compliance requirements.
Approach to state-level privacy law variation:
• IBM’s global privacy program is designed to comply with a broad spectrum of evolving state privacy laws, including those enacted in states such as Virginia, Colorado, Connecticut, Utah, and others.
• IBM applies a unified privacy framework that aligns with the strictest common requirements (e.g., CCPA/CPRA), enabling consistent compliance across multiple US jurisdictions.
• Where state laws introduce specific obligations—such as enhanced opt‑out rights, special rules for sensitive personal information, or unique contractual terms—IBM incorporates these into service agreements, internal controls, and operational procedures.
• IBM continuously monitors state‑level legislative developments and updates policies and controls to ensure ongoing compliance as new privacy requirements are introduced.
In summary, IBM confirms compliance with CCPA and state‑level privacy requirements through its global privacy policies, disciplined governance structure, and auditing practices. IBM’s approach ensures that US cardholder data is processed in accordance with applicable federal and state privacy laws and with consistent, high‑integrity controls across jurisdictions.</t>
  </si>
  <si>
    <t>PCI DSS — confirm current certification level, scope, and most recent assessment date.</t>
  </si>
  <si>
    <t xml:space="preserve">IBM's proposed products and processes are aligned with PCI-DSS 4.0.1 as related to cardholder data. Products and processes are assessed annually. IBM is committed to providing the most recent assessment results prior to work start. Our last PCI DSS certification for India site was in January 2026 and included cards data and healthcare </t>
  </si>
  <si>
    <t>InfoSec &amp; Data Governance</t>
  </si>
  <si>
    <t>Confirm FIS retains full ownership and portability of all data at all times. Describe the mechanism for full data extraction upon contract exit.</t>
  </si>
  <si>
    <t>IBM confirms that FIS retains full ownership, control, and portability of all data at all times. IBM processes FIS data solely on the documented instructions of FIS and does not claim any rights, title, or interest in the data processed on FIS’s behalf. IBM’s role remains that of a data processor and service provider, acting strictly under the terms defined by the contract and Data Processing Addendum (DPA).
Ownership and portability:
• FIS retains full ownership of all data, including cardholder data, operational data, logs, outputs, and derived data produced as part of the contracted services.
• IBM does not use FIS data for any purpose other than providing the contracted services and does not restrict or limit FIS’s right to retrieve, export, or transfer its data at any time.
• Data portability remains fully under FIS’s control, and IBM acts only on FIS’s instructions regarding retention, extraction, or deletion.
Mechanism for full data extraction upon contract exit:
• Upon contract termination or expiration, IBM enables FIS to extract all data in a commonly used, machine‑readable format, consistent with the provisions outlined in the DPA and the service agreement.
• IBM provides reasonable assistance, including access to tools, export utilities, or secure file transfer processes, to facilitate complete extraction of all FIS data stored or processed within the service environment.
• The timing, method, and format of data extraction are agreed upon in the exit plan or service‑specific contractual terms to ensure an orderly, secure transition.
• After FIS has confirmed successful receipt and validation of all exported data, IBM will securely delete any remaining FIS data from its systems in accordance with FIS’s instructions and applicable regulatory and contractual requirements, providing deletion certification where required.
• All extraction and deletion activities are performed using secure transfer and handling methods to maintain data integrity, confidentiality, and regulatory compliance.
This approach ensures that FIS maintains complete ownership and portability of its data throughout the engagement and receives full support for secure and comprehensive data extraction at contract exit.</t>
  </si>
  <si>
    <t>Confirm logical and/or physical segregation of cardholder data across different FIS clients.</t>
  </si>
  <si>
    <t xml:space="preserve">IBM confirms that cardholder data for each FIS client is logically and, where applicable, physically segregated to ensure full isolation, confidentiality, and compliance with PCI DSS and contractual requirements. Segregation is a core control within IBM’s security architecture and is enforced through multiple layers of technical and administrative safeguards.
IBM’s approach to data segregation includes the following:
• Logical segregation:
IBM implements strict logical separation between client environments using access control policies, network segmentation, dedicated tenant identifiers, and role‑based access management. This ensures that cardholder data belonging to one FIS client cannot be accessed, viewed, or processed by another client or any unauthorized party.
• Physical segregation (as required):
For clients whose contracts or regulatory requirements mandate dedicated infrastructure or isolated computing environments, IBM can deploy physically segregated systems to ensure no shared hardware, storage, or network components are used across clients.
• PCI DSS–aligned controls:
IBM applies PCI DSS requirements related to multi‑factor authentication, least‑privilege access, encryption of cardholder data in transit and at rest, and continuous monitoring. These controls support secure separation between client datasets and prevent unauthorized cross‑client access.
• Multi‑tenancy safeguards:
In environments that support multiple clients, IBM enforces strong tenancy boundaries that prevent data mingling. Segregation controls are validated through regular audits, vulnerability assessments, and access reviews.
• Contractual adherence:
IBM’s segregation approach is tailored to the specific requirements outlined in FIS contracts. If FIS mandates enhanced isolation or dedicated environments for certain clients or programs, IBM aligns the solution accordingly.
In summary, IBM ensures that cardholder data from each FIS client remains fully isolated through robust logical controls and, where required, physical separation. These safeguards prevent any cross‑client data exposure and ensure compliance with PCI DSS and FIS security expectations.
</t>
  </si>
  <si>
    <t>Describe security controls for remote/WFH agents handling cardholder data (screen capture, device management, network security, print restrictions).</t>
  </si>
  <si>
    <t>IBM enforces strict security controls for remote and Work‑From‑Home (WFH) agents who handle cardholder data. These controls are aligned with PCI DSS requirements and IBM’s internal security standards to ensure that sensitive data remains protected at all times.
Screen capture controls:
• IBM disables or restricts screen capture, screen recording, and local screen‑sharing capabilities on managed devices used by remote agents.
• DLP (Data Loss Prevention) tools monitor and block attempts to capture or transmit screen content containing sensitive information.
• Clipboard and copy/paste functions may be restricted during handling of cardholder data, based on client requirements.
Device management:
• Remote agents use IBM‑managed and secured devices that enforce endpoint protection, full‑disk encryption, anti‑malware, and vulnerability management.
• Devices are configured to require multi‑factor authentication and strong password controls.
• Only approved, hardened devices can access client environments. Personal devices are not permitted for cardholder data workflows.
• IBM’s device management platform ensures continuous monitoring, policy enforcement, and remote wipe capability in the event of loss or compromise.
Network security:
• All remote access to IBM or FIS systems requires a secure, encrypted channel—typically via VPN or zero‑trust network access solutions.
• Network access controls prevent connection from untrusted or non‑compliant networks.
• Firewalls, intrusion detection/prevention, and secure DNS filtering help ensure remote agents access systems from a secure environment.
• Public Wi‑Fi usage is restricted unless combined with client‑approved secure tunneling protocols.
Print restrictions:
• Printing of cardholder data is prohibited for remote/WFH agents unless explicitly authorized by the client and protected via secure printing methods.
• Print functions on remote agent devices are disabled by policy to prevent unauthorized printing.
• If approved, secure printers require badge release, logging, and immediate collection protocols.
Additional safeguards:
• Workspace requirements ensure that remote agents operate in a private, controlled environment to prevent shoulder surfing or unauthorized observation.
• Logging and monitoring tools track remote session activity, access attempts, and policy violations in real time.
This combined set of technical, administrative, and procedural controls ensures that remote/WFH agents handling cardholder data operate within a secure, compliant environment that meets or exceeds PCI DSS and FIS requirements.</t>
  </si>
  <si>
    <t>Responsibility for Penalties</t>
  </si>
  <si>
    <t>Who bears liability for regulatory fines resulting from vendor non-compliance? Describe indemnity and remediation framework for client disputes arising from vendor error.</t>
  </si>
  <si>
    <t>Vendor bears responsibility for any regulatory fines stemming from non-compliance. Specific dispute resolution and vendor non-compliance remediations will be handled at the transaction document level.</t>
  </si>
  <si>
    <t>Financial Services — NA</t>
  </si>
  <si>
    <t>CFPB — describe your compliance program and oversight model for collections, disputes, and customer service operations.</t>
  </si>
  <si>
    <t xml:space="preserve">IBM maintains a comprehensive compliance program designed to ensure that operations supporting collections, disputes, and customer service meet all applicable federal regulatory requirements, including those enforced by the Consumer Financial Protection Bureau (CFPB). Our compliance framework integrates policies, oversight structures, audit mechanisms, and operational controls that govern the fair, secure, and compliant handling of consumer interactions and financial data.
Compliance program aligned to CFPB expectations:
• IBM operates under a global set of privacy, security, and ethics directives that govern how we handle personal and financial data across all business units. These directives are aligned with US regulatory requirements, including CFPB standards for consumer protection, fair treatment, accuracy, and responsiveness.
• All client‑specific requirements related to collections, servicing, and dispute handling are implemented contractually and translated into operational procedures for delivery teams.
Oversight model for collections, disputes, and customer service operations:
• Compliance governance: Dedicated compliance, legal, and risk teams oversee adherence to regulatory and contractual obligations. These teams provide guidance, oversight, and periodic review of operational processes that directly affect consumers.
• Policies and controls: Controls are implemented to ensure accuracy in disclosures, proper handling of disputes, adherence to fair collections practices, secure treatment of financial data, and prevention of unfair, deceptive, or abusive acts or practices (UDAAP).
• Training and competency: All personnel supporting consumer‑facing operations receive mandatory training on regulatory obligations, including CFPB requirements, UDAAP principles, complaint handling, dispute processing, and data security.
• Monitoring and quality assurance: IBM maintains robust quality monitoring programs to evaluate adherence to regulatory, client, and procedural requirements. Call handling, dispute documentation, consumer communications, and decision‑making processes are reviewed regularly.
• Complaint management: IBM follows structured processes for documenting, escalating, and resolving consumer complaints in accordance with CFPB expectations and client‑defined procedures.
• Reporting and transparency: IBM provides clients with regular operational reporting, compliance findings, and risk insights to support their broader regulatory responsibilities.
Audit and independent review:
• Internal audits: IBM conducts periodic internal audits of privacy, data handling, and operational processes relevant to collections, disputes, and service operations.
• Third‑party audits: Independent auditors review IBM’s practices annually. Findings are reflected in IBM’s annual disclosures and applicable certifications.
• Client audit support: Under the Data Processing Addendum (DPA), IBM provides clients with certifications, summary audit reports, and access to relevant documentation upon written request, supporting oversight of CFPB‑related obligations.
Contractual alignment:
• IBM implements all client‑mandated controls and obligations related to consumer protection, dispute resolution standards, and collections practices.
• Any additional requirements stemming from client policies or regulatory expectations are incorporated into the contract and applied to operations accordingly.
In summary, IBM maintains a rigorous compliance program supported by internal governance, audits, training, quality oversight, and contractual alignment to ensure that collections, disputes, and customer service operations meet CFPB expectations and protect consumers effectively.
</t>
  </si>
  <si>
    <t>FDCPA / TCPA — describe compliance approach for collections operations in the United States.</t>
  </si>
  <si>
    <t xml:space="preserve">IBM maintains a comprehensive, controls‑driven compliance program to ensure that all US collections operations fully adhere to the Fair Debt Collection Practices Act (FDCPA), the Telephone Consumer Protection Act (TCPA), and other applicable federal and state consumer‑protection requirements. Our approach combines governance, operational controls, monitoring, and training to ensure compliant and consumer‑centric collection practices.
FDCPA compliance approach:
• Policy and process alignment: IBM collection workflows are designed to comply with FDCPA requirements regarding call frequency, timing, prohibited practices, disclosures, dispute handling, and consumer rights.
• Required disclosures: Agents follow scripts and procedures that include all mandatory FDCPA disclosures and validation notices.
• Prohibited practices controls: Systems and QA reviews enforce policies prohibiting harassment, misleading statements, unauthorized communication, or unfair practices.
• Dispute management: IBM adheres to strict procedures for documenting, pausing, and investigating disputes in accordance with FDCPA timing and validation requirements.
• Consumer rights protections: IBM ensures consumers can request verification, cease communication, or specify preferred communication channels in alignment with FDCPA guidelines.
TCPA compliance approach:
• Consent management: IBM only contacts consumers using automated dialing or prerecorded messages when the client confirms prior express consent or prior express written consent, as required.
• Contact method governance: Dialer systems are configured to block calls without verified consent indicators. Auto‑dialers, prerecorded messages, and SMS communications are used only in legally permissible scenarios.
• Call timing and opt‑out support: Contact attempts follow legally required time windows, opt‑out capabilities, and do‑not‑call suppression lists.
• Number validation: IBM uses tools to identify reassigned numbers and mobile vs. landline classification to minimize TCPA risk.
Oversight and monitoring:
• Quality monitoring and call reviews: IBM conducts routine QA reviews specifically focused on FDCPA/TCPA compliance, including call content, tone, disclosures, and adherence to consent and communication rules.
• Compliance governance: Dedicated legal, compliance, and risk teams oversee execution of regulatory mandates and provide ongoing guidance as regulations evolve.
• Complaint resolution: IBM maintains procedures to track, escalate, and resolve consumer complaints in alignment with FDCPA, TCPA, and client requirements.
Training and certification:
• Agents receive specialized FDCPA/TCPA training prior to handling collections accounts and recurrent refresher training thereafter.
• Training covers prohibited practices, mandatory disclosures, consent validation, communication rules, escalation procedures, and UDAAP risk mitigation.
• Supervisors receive advanced training to oversee compliance adherence and coach agents effectively.
Audit and documentation:
• Internal audits evaluate compliance with FDCPA, TCPA, and related consumer‑protection rules.
• IBM supports client‑driven audits and provides relevant certifications or summary audit reports as required under the contract or DPA.
Technology controls supporting compliance:
• Dialer controls enforce call restrictions, call‑frequency caps, consent status, and time‑of‑day rules.
• CRM and workflow systems document all consumer interactions, dispute entries, verifications, and opt‑outs.
• Secure data handling protects personal and financial information in alignment with federal and state laws.
In summary, IBM’s FDCPA/TCPA compliance model integrates strong governance, detailed process controls, advanced technology safeguards, continuous training, and rigorous monitoring to ensure that all collections activities in the United States meet regulatory standards and protect consumers.
</t>
  </si>
  <si>
    <t>Financial Services — EMEA</t>
  </si>
  <si>
    <t>FCA regulated activities — describe your compliance approach for UK-regulated cardholder servicing including complaint handling.</t>
  </si>
  <si>
    <t>IBM will follow the guidelines set by FIS to adhere to all and any UK regulated activities with respect to FCA and similar regulations. In addition to this, our risk and compliance team will monitor the policy and procedures to ensure we adhere to the regulations and flag any deviations internally as well as FIS</t>
  </si>
  <si>
    <t>Germany (BaFin) and Netherlands (AFM/DNB) — describe relevant considerations for Hamburg and Barneveld operations.</t>
  </si>
  <si>
    <t>IBM will follow the guidelines set by FIS to adhere to all and any German and Dutch regulated activities with respect to specific local regulations. In addition to this, our risk and compliance team will monitor the policy and procedures to ensure we adhere to the regulations and flag any deviations internally as well as FIS</t>
  </si>
  <si>
    <t>(Add any additional regulatory area)</t>
  </si>
  <si>
    <t>Add any further regulatory requirements, jurisdictional constraints, or compliance considerations relevant to your proposed delivery model that are not covered above.</t>
  </si>
  <si>
    <t xml:space="preserve">IBM’s proposed delivery model incorporates all major regulatory and jurisdictional requirements associated with credit and commercial card fraud operations, disputes, collections, and customer servicing across the United States, United Kingdom, and other relevant locations. Beyond the regulations already addressed (GDPR, CCPA/US state privacy laws, PCI DSS, FDCPA, TCPA, FCA, CFPB, and general outsourcing/offshoring regulatory requirements), the following additional considerations are relevant to ensure full compliance:
• Payment network rules:
IBM adheres to card scheme regulations and operating rules issued by Visa, Mastercard, American Express, and Discover, including dispute processing standards, fraud alert expectations, chargeback timelines, documentation requirements, and secure handling of PAN‑related data.
• Record retention and e‑discovery:
Data retention policies must comply with jurisdiction‑specific financial regulations and contract terms, including requirements for retaining dispute records, correspondence, fraud investigations, and consumer communications for mandated periods.
• Bank‑specific confidentiality and outsourcing guidelines:
For work supporting regulated financial institutions, IBM aligns its controls with relevant banking regulations (e.g., OCC, FFIEC, EBA, PRA guidance on outsourcing and operational resilience). This includes requirements for governance, monitoring, subcontractor management, and resilience planning.
• Operational resilience and business continuity:
Where applicable, IBM ensures alignment with:
– UK FCA/PRA operational resilience rules
– US FFIEC business continuity guidance
– Client‑specific resilience frameworks
This includes impact tolerances, scenario testing, and continuity strategies for fraud, dispute, and servicing operations.
• Data localization and cross‑border rules (non‑EU/UK/US):
Depending on the final delivery locations, IBM considers requirements such as:
– India’s DPDP Act for personal data handling
– Philippines DPA for BPO operations
– Any country‑specific constraints related to employee monitoring, call recording, or data transfer
IBM ensures compliance with local labor, privacy, and telecommunications rules that impact service delivery.
• Call recording and monitoring regulations:
Jurisdictions have varying rules regarding call monitoring, consent, retention, and consumer disclosure (e.g., two‑party consent states in the US, UK call‑recording rules under PECR). IBM aligns call‑recording practices with applicable law and ensures proper disclosures.
• Employment and labor law compliance for BPO locations:
IBM ensures compliance with local employment, labor, and workforce‑protection requirements—including Working Time Regulations (UK), US state labor laws, and offshore location rules—to maintain compliant staffing models.
• Information security certifications and industry standards:
In addition to PCI DSS, IBM maintains alignment with ISO 27001, NIST 800‑53, and other industry‑standard frameworks that provide assurance of strong controls across global delivery sites.
If no additional regulatory, contractual, or jurisdictional constraints apply beyond those listed above and previously provided, IBM ensures that its delivery model remains adaptable and fully compliant with any client‑specific or newly introduced regulatory requirements.
In summary, IBM’s regulatory and compliance framework is comprehensive, adaptable across jurisdictions, and designed to meet all applicable laws, card‑network rules, financial‑sector regulations, and client‑specific standards associated with global fraud, dispute, collections, and servicing operations.
</t>
  </si>
  <si>
    <t>9.0 Client Efficiency Assumptions</t>
  </si>
  <si>
    <t>9.1 Transformation Assumptions</t>
  </si>
  <si>
    <t>Vendor to provide</t>
  </si>
  <si>
    <r>
      <rPr>
        <b/>
        <sz val="11"/>
        <color rgb="FF3C3C40"/>
        <rFont val="Aptos"/>
      </rPr>
      <t xml:space="preserve">Overall Track Record Serving Card‑Issuing Financial Institutions
</t>
    </r>
    <r>
      <rPr>
        <sz val="11"/>
        <color rgb="FF3C3C40"/>
        <rFont val="Aptos"/>
      </rPr>
      <t xml:space="preserve">IBM Consulting has an established, global track record supporting card‑issuing financial institutions across credit, debit, prepaid, and co‑brand portfolios, as well as adjacent issuer servicing and regulated banking operations.
</t>
    </r>
    <r>
      <rPr>
        <b/>
        <sz val="11"/>
        <color rgb="FF3C3C40"/>
        <rFont val="Aptos"/>
      </rPr>
      <t xml:space="preserve">Years in market
</t>
    </r>
    <r>
      <rPr>
        <sz val="11"/>
        <color rgb="FF3C3C40"/>
        <rFont val="Aptos"/>
      </rPr>
      <t xml:space="preserve">IBM has served financial institutions for 50+ years and has operated formalized managed services and BPO for financial services for over 20 years, including issuer operations, customer care, disputes and chargebacks, collections, and regulated back‑office functions. Card issuer operations are a long‑standing component of IBM’s Financial Services Operations and Business Transformation portfolio, delivered across North America, EMEA, LATAM, and APAC.
</t>
    </r>
    <r>
      <rPr>
        <b/>
        <sz val="11"/>
        <color rgb="FF3C3C40"/>
        <rFont val="Aptos"/>
      </rPr>
      <t xml:space="preserve">Number of active issuer clients
</t>
    </r>
    <r>
      <rPr>
        <sz val="11"/>
        <color rgb="FF3C3C40"/>
        <rFont val="Aptos"/>
      </rPr>
      <t xml:space="preserve">IBM currently supports dozens of financial services clients with in‑scope card‑issuing or issuer‑adjacent operations, including Tier 1 global banks, regional issuers, digital banks/fintechs, and commercial and consumer co‑brand programs. Across these engagements, IBM supports tens of millions of active card accounts, delivered through both blended and dedicated models. Individual client names and exact sub‑segment counts are not disclosed due to confidentiality obligations.
</t>
    </r>
    <r>
      <rPr>
        <b/>
        <sz val="11"/>
        <color rgb="FF3C3C40"/>
        <rFont val="Aptos"/>
      </rPr>
      <t xml:space="preserve">Approximate ACV managed
</t>
    </r>
    <r>
      <rPr>
        <sz val="11"/>
        <color rgb="FF3C3C40"/>
        <rFont val="Aptos"/>
      </rPr>
      <t xml:space="preserve">Within IBM's 2025 Corporate Revenue total of $67.5B, IBM Consulting Revenue was $21.1B, this includes the BPO, advisory and AI-led transformations. IBM’s financial services operations manage multi‑billion‑dollar ACV globally. Issuer‑related managed services programs commonly range from $10M to $50M+ ACV per issuer, reflecting multi‑year, multi‑tower engagements spanning customer care, back‑office operations, and technology‑enabled transformation.
</t>
    </r>
    <r>
      <rPr>
        <b/>
        <sz val="11"/>
        <color rgb="FF3C3C40"/>
        <rFont val="Aptos"/>
      </rPr>
      <t xml:space="preserve">Notable performance milestones
</t>
    </r>
    <r>
      <rPr>
        <sz val="11"/>
        <color rgb="FF3C3C40"/>
        <rFont val="Aptos"/>
      </rPr>
      <t xml:space="preserve">Across card‑issuing and regulated financial services engagements, IBM has delivered:
- 30 – 40% reductions in cost‑to‑serve through AI‑enabled automation, self‑service expansion, and optimized global delivery models.
- First Contact Resolution levels of 75–80% and call abandonment rates below 3% through omnichannel transformation and agent‑assist AI.
- ≥99.6% service availability for critical issuer workflows, supported by resilient operations and enterprise‑grade controls.
- Up to 80 – 85% automation of routine back‑office activities, including dispute intake, chargeback processing, and standard card maintenance tasks.
</t>
    </r>
    <r>
      <rPr>
        <b/>
        <sz val="11"/>
        <color rgb="FF3C3C40"/>
        <rFont val="Aptos"/>
      </rPr>
      <t xml:space="preserve">Industry recognition  
</t>
    </r>
    <r>
      <rPr>
        <sz val="11"/>
        <color rgb="FF3C3C40"/>
        <rFont val="Aptos"/>
      </rPr>
      <t xml:space="preserve">Our standing as a partner for financial and issuer operations is reinforced by independent recognition, including:
- Leader in 2025 Gartner® Magic Quadrant™ for Finance &amp; Accounting BPO
- Leader in 2024 Gartner® Magic Quadrant™ for API Management
- HFS Top 10 rankings for Finance and Accounting Outsourcing and Source‑to‑Pay  
- 2024 Everest Group Leader,  Finance &amp; Accounting Outsourcing  (FAO) PEAK Matrix® Assessment 
- Hackett Digital Awards, 2024 Digital Award, Plan-to-Results
These acknowledgements reflect IBM’s ability to deliver scaled, AI‑enabled, compliant operations for large, regulated financial institutions, including card issuers.
</t>
    </r>
    <r>
      <rPr>
        <b/>
        <sz val="11"/>
        <color rgb="FF3C3C40"/>
        <rFont val="Aptos"/>
      </rPr>
      <t xml:space="preserve">Controls, compliance, and governance
</t>
    </r>
    <r>
      <rPr>
        <sz val="11"/>
        <color rgb="FF3C3C40"/>
        <rFont val="Aptos"/>
      </rPr>
      <t xml:space="preserve">Issuer services are delivered within a mature control environment, including PCI DSS‑aligned delivery where cardholder data is in scope, ISO 9001 quality controls, and ISO 27001/SOC 2 security and data‑protection frameworks. IBM operates an enterprise AI Control Centre that provides real‑time visibility into volumes, SLAs, automation performance, and compliance metrics, supported by structured operational governance and executive oversight.
</t>
    </r>
    <r>
      <rPr>
        <b/>
        <sz val="11"/>
        <color rgb="FF3C3C40"/>
        <rFont val="Aptos"/>
      </rPr>
      <t xml:space="preserve">Summary
</t>
    </r>
    <r>
      <rPr>
        <sz val="11"/>
        <color rgb="FF3C3C40"/>
        <rFont val="Aptos"/>
      </rPr>
      <t>IBM brings decades of issuer‑services experience, global delivery scale, and proven AI‑enabled operating models to reliably manage large card‑issuing portfolios, significant ACV, and high‑stakes service levels for regulated financial institutions.</t>
    </r>
  </si>
  <si>
    <r>
      <rPr>
        <b/>
        <sz val="11"/>
        <color rgb="FF000000"/>
        <rFont val="Aptos Narrow"/>
      </rPr>
      <t xml:space="preserve">Approach to Managing Sub‑Contractors
</t>
    </r>
    <r>
      <rPr>
        <sz val="11"/>
        <color rgb="FF000000"/>
        <rFont val="Aptos Narrow"/>
      </rPr>
      <t xml:space="preserve">IBM’s delivery preference for FIS Total Managed Services (TMS) is to perform services using IBM employees and IBM‑owned delivery assets, limiting sub‑contracting to narrowly defined, non‑core components where it demonstrably adds value and is explicitly approved by FIS. IBM’s model is intentionally designed to minimize subcontractor dependency during transition and steady-state operations, reducing operational and regulatory risk for first-time outsourcing programs. All subcontractors will operate under IBM security, compliance, and operational standards, including PCI-DSS, GDPR, and banking regulatory requirements. IBM remains the prime contractor and single point of accountability for all services, outcomes, SLAs, and compliance obligations.
</t>
    </r>
    <r>
      <rPr>
        <b/>
        <sz val="11"/>
        <color rgb="FF000000"/>
        <rFont val="Aptos Narrow"/>
      </rPr>
      <t xml:space="preserve">1. Use of Sub‑Contractors, Identity, and Delivery Locations
</t>
    </r>
    <r>
      <rPr>
        <sz val="11"/>
        <color rgb="FF000000"/>
        <rFont val="Aptos Narrow"/>
      </rPr>
      <t xml:space="preserve">Based on our current understanding of the FIS TMS scope, IBM does not anticipate the routine use of sub‑contractors for core managed services, including:
- Contact center operations (voice, chat, messaging)
- Back‑office processing (disputes, chargebacks, fraud support, account maintenance)
- Workforce management, quality, training, reporting, and operations management
These services would be delivered by IBM resources from IBM’s global delivery network (onshore, nearshore, and offshore locations aligned to client, regulatory, and language constraints).
Sub‑contractors may be proposed only where appropriate and subject to prior FIS approval, typically limited to:
- Specialized technology components (e.g., niche AI utilities, language processing, document capture tools) that integrate into IBM‑managed platforms
- Country‑specific or regulated services where local licensing or legal requirements necessitate a locally registered provider
- Cloud or infrastructure services (e.g., hyperscalers or regulated hosting providers) supporting IBM‑managed solutions
Where sub‑contractors are proposed:
- They will be pre‑vetted through IBM’s Third‑Party Risk Management framework
- Fully disclosed in the SOW, including name, scope of services, delivery locations, and data access
- Bound to IBM’s standards for data protection, information security, regulatory compliance, ethics, and resiliency
IBM remains fully responsible for delivery, regardless of sub‑contractor involvement.
</t>
    </r>
    <r>
      <rPr>
        <b/>
        <sz val="11"/>
        <color rgb="FF000000"/>
        <rFont val="Aptos Narrow"/>
      </rPr>
      <t xml:space="preserve">2. SLA Flow‑Down Mechanism
</t>
    </r>
    <r>
      <rPr>
        <sz val="11"/>
        <color rgb="FF000000"/>
        <rFont val="Aptos Narrow"/>
      </rPr>
      <t>IBM applies a single, integrated SLA and performance management framework across IBM teams and any approved sub‑contractors.
Key elements include:
- Contractual flow‑downAll applicable client obligations—SLAs, KPIs, security, confidentiality, audit, and regulatory requirements—are explicitly flowed down into sub‑contractor agreements. From FIS’s perspective, performance and protections are equivalent to IBM‑only delivery.
- Aligned performance metricsFIS TMS SLAs (e.g., ASA, AHT, FCR, backlog aging, dispute turnaround, quality and compliance metrics) are decomposed into supplier‑level KPIs where relevant. Sub‑contractor performance is measured as part of the end‑to‑end service, not in isolation.
- Continuous monitoring and escalationSub‑contractor performance is monitored through IBM’s service management tooling and governance processes. Performance shortfalls trigger corrective action plans, escalation, and—if required—replacement at IBM’s expense, consistent with contractual provisions.
- Integrated governanceSub‑contractor performance, risks, and remediation actions are reviewed within the same operational, management, and executive governance forums used for the overall FIS TMS engagement.
IBM remains fully accountable for meeting all contractual SLAs irrespective of any sub‑contractor participation.
3. C</t>
    </r>
    <r>
      <rPr>
        <b/>
        <sz val="11"/>
        <color rgb="FF000000"/>
        <rFont val="Aptos Narrow"/>
      </rPr>
      <t>lient Audit Rights Over Sub‑Contractors
Yes</t>
    </r>
    <r>
      <rPr>
        <sz val="11"/>
        <color rgb="FF000000"/>
        <rFont val="Aptos Narrow"/>
      </rPr>
      <t>. IBM’s standard model ensures that FIS retains appropriate audit rights over any sub‑contractors involved in delivering TMS services.
Specifically:
- Sub‑contractor agreements include provisions permitting IBM—and FIS where required—to audit relevant processes, controls, and records related to the services.
- Sub‑contractors are required to provide independent assurance reports (e.g., SOC 2 Type II or equivalent) where applicable and to remediate identified issues.
- IBM will provide FIS with audit summaries, assurance reports (as permitted), and remediation status.
- Where FIS requires direct audit access, IBM will structure the arrangement to enable such rights while maintaining confidentiality and security protocols.
Summ</t>
    </r>
    <r>
      <rPr>
        <b/>
        <sz val="11"/>
        <color rgb="FF000000"/>
        <rFont val="Aptos Narrow"/>
      </rPr>
      <t>ary
IBM</t>
    </r>
    <r>
      <rPr>
        <sz val="11"/>
        <color rgb="FF000000"/>
        <rFont val="Aptos Narrow"/>
      </rPr>
      <t>’s approach minimizes sub‑contracting, ensures full transparency and control where sub‑contractors are used, flows down all SLA and compliance obligations, and preserves FIS’s audit and governance rights—while IBM remains fully accountable for service performance, regulatory compliance, and operational outcomes under the TMS engagement.</t>
    </r>
  </si>
  <si>
    <r>
      <rPr>
        <b/>
        <sz val="11"/>
        <color rgb="FF000000"/>
        <rFont val="Aptos Narrow"/>
      </rPr>
      <t xml:space="preserve">Active Financial Services Clients
</t>
    </r>
    <r>
      <rPr>
        <sz val="11"/>
        <color rgb="FF000000"/>
        <rFont val="Aptos Narrow"/>
      </rPr>
      <t xml:space="preserve">IBM currently serves 500+ active banking and financial markets clients globally, spanning banking, payments, insurance, and capital markets. Ninety percent of Top 10 banks / financial services institutions are IBM clients. Within this population, IBM Consulting’s managed services and business process operations support provides services to several dozen financial institutions on an ongoing, multi‑year basis.
While IBM does not publicly disclose exact client counts at a named or individual‑segment level due to confidentiality obligations, our active financial services client base can be characterized as follows:
Client Breakdown (Approximate, Active Managed Services Clients)
</t>
    </r>
    <r>
      <rPr>
        <b/>
        <sz val="11"/>
        <color rgb="FF000000"/>
        <rFont val="Aptos Narrow"/>
      </rPr>
      <t xml:space="preserve">Issuers (Card‑Issuing Banks and Specialty Lenders)
</t>
    </r>
    <r>
      <rPr>
        <sz val="11"/>
        <color rgb="FF000000"/>
        <rFont val="Aptos Narrow"/>
      </rPr>
      <t xml:space="preserve">30 – 40 active clients globally
Includes tier‑1 global banks, regional and super‑regional issuers, digital banks/fintechs, and co‑brand/private‑label card programs. Scope commonly spans customer servicing, disputes and chargebacks, collections, back‑office processing, and risk and compliance operations.
</t>
    </r>
    <r>
      <rPr>
        <b/>
        <sz val="11"/>
        <color rgb="FF000000"/>
        <rFont val="Aptos Narrow"/>
      </rPr>
      <t xml:space="preserve">Acquirers and Merchant Services Providers
</t>
    </r>
    <r>
      <rPr>
        <sz val="11"/>
        <color rgb="FF000000"/>
        <rFont val="Aptos Narrow"/>
      </rPr>
      <t xml:space="preserve">10 – 15 active clients
Includes merchant acquirers and merchant‑services providers supported across onboarding and KYC, risk monitoring, chargebacks, settlements, merchant support, and operational back‑office functions.
</t>
    </r>
    <r>
      <rPr>
        <b/>
        <sz val="11"/>
        <color rgb="FF000000"/>
        <rFont val="Aptos Narrow"/>
      </rPr>
      <t xml:space="preserve">
Payments Processors / Networks / PSPs
</t>
    </r>
    <r>
      <rPr>
        <sz val="11"/>
        <color rgb="FF000000"/>
        <rFont val="Aptos Narrow"/>
      </rPr>
      <t xml:space="preserve">10 – 15 active clients
Includes payment processors and payment service providers supported across transaction operations support, scheme compliance activities, disputes and chargebacks, fraud‑operations support, reconciliations, settlements, and finance operations.
</t>
    </r>
    <r>
      <rPr>
        <b/>
        <sz val="11"/>
        <color rgb="FF000000"/>
        <rFont val="Aptos Narrow"/>
      </rPr>
      <t xml:space="preserve">
Other Financial Services Clients
</t>
    </r>
    <r>
      <rPr>
        <sz val="11"/>
        <color rgb="FF000000"/>
        <rFont val="Aptos Narrow"/>
      </rPr>
      <t xml:space="preserve">25 – 35 active clients
Includes retail and commercial banks, capital markets firms, specialty finance providers, and insurers supported through finance operations, customer operations, risk and compliance, and regulated back‑office services.
</t>
    </r>
    <r>
      <rPr>
        <b/>
        <sz val="11"/>
        <color rgb="FF000000"/>
        <rFont val="Aptos Narrow"/>
      </rPr>
      <t xml:space="preserve">Additional Context
</t>
    </r>
    <r>
      <rPr>
        <sz val="11"/>
        <color rgb="FF000000"/>
        <rFont val="Aptos Narrow"/>
      </rPr>
      <t>Across issuer, acquirer, and processor engagements, IBM supports tens of millions of customer accounts, millions of transactions annually, and large volumes of regulated operational workflows.
These engagements are typically multi‑tower and multi‑year, combining managed services with automation, AI‑enabled digital workers, and standardized governance and controls.
Services are delivered through IBM’s global delivery network, supporting 40+ languages and operations across 80+ countries, aligned to regulatory, data‑residency, and client‑specific constraints.
If helpful, IBM can provide anonymized case examples and segment‑specific references in later stages of the evaluation under appropriate confidentiality arrangements.</t>
    </r>
  </si>
  <si>
    <r>
      <rPr>
        <b/>
        <sz val="11"/>
        <color rgb="FF000000"/>
        <rFont val="Aptos Narrow"/>
      </rPr>
      <t xml:space="preserve">Countries and Sites Used for Contact Center and Back‑Office Services
</t>
    </r>
    <r>
      <rPr>
        <sz val="11"/>
        <color rgb="FF000000"/>
        <rFont val="Aptos Narrow"/>
      </rPr>
      <t xml:space="preserve">IBM Consulting delivers contact center and back‑office services through a large, diversified global delivery network. IBM’s delivery model prioritizes IBM-owned centers for consistency, security, and regulatory compliance for financial services clients. The overwhelming majority of delivery is performed from IBM‑owned and IBM‑operated facilities, governed under IBM’s global standards for security, data protection, regulatory compliance, and quality. Sub‑contracted facilities are used only on an exception basis for niche language coverage, country‑specific requirements, or temporary surge capacity, and always under IBM contractual control and oversight.
Below is a consolidated view of current delivery countries and representative sites, with ownership noted.
</t>
    </r>
    <r>
      <rPr>
        <b/>
        <sz val="11"/>
        <color rgb="FF000000"/>
        <rFont val="Aptos Narrow"/>
      </rPr>
      <t xml:space="preserve">North America – Onshore
</t>
    </r>
    <r>
      <rPr>
        <sz val="11"/>
        <color rgb="FF000000"/>
        <rFont val="Aptos Narrow"/>
      </rPr>
      <t xml:space="preserve">Ownership: IBM‑owned
- United States: Boulder, Dallas, Denver, Raleigh, Atlanta, Tulsa, Austin, Greenville, Winston‑Salem
- Canada: Toronto, Calgary
These sites primarily support regulated, complex, and client‑facing work, including financial services contact center and sensitive back‑office operations.
</t>
    </r>
    <r>
      <rPr>
        <b/>
        <sz val="11"/>
        <color rgb="FF000000"/>
        <rFont val="Aptos Narrow"/>
      </rPr>
      <t xml:space="preserve">Latin America – Nearshore
</t>
    </r>
    <r>
      <rPr>
        <sz val="11"/>
        <color rgb="FF000000"/>
        <rFont val="Aptos Narrow"/>
      </rPr>
      <t xml:space="preserve">Ownership: IBM‑owned
- Mexico: Monterrey, Guadalajara
- Costa Rica: San José
- Colombia: Bogotá
- Brazil: São Paulo, Hortolândia
- Argentina: Buenos Aires
These centers deliver multilingual contact center and back‑office services (Spanish, Portuguese, English), supporting both regional and global programs.
</t>
    </r>
    <r>
      <rPr>
        <b/>
        <sz val="11"/>
        <color rgb="FF000000"/>
        <rFont val="Aptos Narrow"/>
      </rPr>
      <t xml:space="preserve">Europe – Onshore and Nearshore
</t>
    </r>
    <r>
      <rPr>
        <sz val="11"/>
        <color rgb="FF000000"/>
        <rFont val="Aptos Narrow"/>
      </rPr>
      <t xml:space="preserve">Ownership: IBM‑owned
- United Kingdom: London
- Netherlands: Amsterdam
- France: Paris
- Spain: Madrid
- Portugal: Braga
- Poland: Kraków
- Czech Republic: Prague
- Hungary: Budapest
- Germany: Multiple IBM delivery locations
- Romania: IBM delivery centers
These sites support EMEA contact center and regulated back‑office services, including multilingual and country‑specific operations.
</t>
    </r>
    <r>
      <rPr>
        <b/>
        <sz val="11"/>
        <color rgb="FF000000"/>
        <rFont val="Aptos Narrow"/>
      </rPr>
      <t xml:space="preserve">Asia‑Pacific – Offshore and Regional
</t>
    </r>
    <r>
      <rPr>
        <sz val="11"/>
        <color rgb="FF000000"/>
        <rFont val="Aptos Narrow"/>
      </rPr>
      <t xml:space="preserve">Ownership: IBM‑owned
- India: Bengaluru, Chennai, Hyderabad, Pune, Mumbai, Gurgaon, Delhi / Noida
- Philippines: Manila, Naga
- China: Dalian
- Japan: Tokyo, Sapporo, Hiroshima
- South Korea: Seoul
- Malaysia: Kuala Lumpur
- Australia: Ballarat, Brisbane
India and the Philippines are IBM’s largest hubs for omnichannel contact center and back‑office delivery, including automation‑enabled and AI‑assisted operations.
</t>
    </r>
    <r>
      <rPr>
        <b/>
        <sz val="11"/>
        <color rgb="FF000000"/>
        <rFont val="Aptos Narrow"/>
      </rPr>
      <t xml:space="preserve">Africa &amp; Middle East
</t>
    </r>
    <r>
      <rPr>
        <sz val="11"/>
        <color rgb="FF000000"/>
        <rFont val="Aptos Narrow"/>
      </rPr>
      <t xml:space="preserve">Ownership:
- Egypt: Cairo (IBM‑owned / operated)
- South Africa: IBM‑operated facilities
For specific multilingual or regional requirements, IBM may supplement capacity with approved subcontracted partners in select locations (e.g., North Africa). Any such use is disclosed, contractually controlled, and governed under IBM security, compliance, and quality standards.
</t>
    </r>
    <r>
      <rPr>
        <b/>
        <sz val="11"/>
        <color rgb="FF000000"/>
        <rFont val="Aptos Narrow"/>
      </rPr>
      <t xml:space="preserve">Use of Sub‑Contracted Sites
</t>
    </r>
    <r>
      <rPr>
        <sz val="11"/>
        <color rgb="FF000000"/>
        <rFont val="Aptos Narrow"/>
      </rPr>
      <t xml:space="preserve">- Sub‑contracted delivery is limited and non‑core.
- All subcontracted sites are:
    - Pre‑approved through IBM’s third‑party risk framework
    - Bound by the same security, confidentiality, compliance, and SLA obligations as IBM‑owned sites
    - Fully integrated into IBM’s service management and governance model
IBM remains the prime contractor and single point of accountability for all services, regardless of delivery location or subcontractor involvement.
</t>
    </r>
    <r>
      <rPr>
        <b/>
        <sz val="11"/>
        <color rgb="FF000000"/>
        <rFont val="Aptos Narrow"/>
      </rPr>
      <t xml:space="preserve">
Summary
</t>
    </r>
    <r>
      <rPr>
        <sz val="11"/>
        <color rgb="FF000000"/>
        <rFont val="Aptos Narrow"/>
      </rPr>
      <t>IBM currently delivers contact center and back‑office services across North America, Latin America, Europe, Asia‑Pacific, Africa, and the Middle East, primarily from IBM‑owned delivery centers. Sub‑contracted sites, where used, are limited, transparent, and governed to the same standards—ensuring consistency, compliance, and performance across the global delivery network.</t>
    </r>
  </si>
  <si>
    <r>
      <rPr>
        <b/>
        <sz val="11"/>
        <color rgb="FF000000"/>
        <rFont val="Aptos Narrow"/>
      </rPr>
      <t xml:space="preserve">Supported Languages and Associated Delivery Locations
</t>
    </r>
    <r>
      <rPr>
        <sz val="11"/>
        <color rgb="FF000000"/>
        <rFont val="Aptos Narrow"/>
      </rPr>
      <t xml:space="preserve">IBM Consulting operates a scaled, enterprise‑grade multilingual delivery network, supporting 40+ languages globally across contact center and back‑office services through a combination of native‑language agents, multilingual teams, and AI‑enabled digital workers. IBM’s language delivery model is aligned to regulated financial services requirements, including PCI and regional data residency considerations. Below is a focused view of the languages of particular relevance to FIS TMS and the primary delivery locations supporting each.
</t>
    </r>
    <r>
      <rPr>
        <b/>
        <sz val="11"/>
        <color rgb="FF000000"/>
        <rFont val="Aptos Narrow"/>
      </rPr>
      <t xml:space="preserve">Languages of Particular Relevance:
</t>
    </r>
    <r>
      <rPr>
        <sz val="11"/>
        <color rgb="FF000000"/>
        <rFont val="Aptos Narrow"/>
      </rPr>
      <t xml:space="preserve">
</t>
    </r>
    <r>
      <rPr>
        <b/>
        <sz val="11"/>
        <color rgb="FF000000"/>
        <rFont val="Aptos Narrow"/>
      </rPr>
      <t xml:space="preserve">English (US, Canada, UK variants)
</t>
    </r>
    <r>
      <rPr>
        <sz val="11"/>
        <color rgb="FF000000"/>
        <rFont val="Aptos Narrow"/>
      </rPr>
      <t xml:space="preserve">- United States: Multiple IBM delivery centers supporting US English for regulated and customer‑facing programs
- Canada: Toronto and other bilingual hubs (English‑CA)
- United Kingdom: London and regional UK delivery centers (English‑UK)
- India: Bengaluru, Hyderabad, Chennai, Pune, Gurgaon (large‑scale English for voice, chat, and back‑office)
- Philippines: Manila, Naga (English‑heavy, voice‑intensive and empathetic support)
- Poland, Romania, Czech Republic: Pan‑European English support for blended queues
English delivery is supported across onshore, nearshore, and offshore locations and augmented by AI‑assisted agent support and self‑service.
</t>
    </r>
    <r>
      <rPr>
        <b/>
        <sz val="11"/>
        <color rgb="FF000000"/>
        <rFont val="Aptos Narrow"/>
      </rPr>
      <t xml:space="preserve">Spanish (US and LATAM variants)
</t>
    </r>
    <r>
      <rPr>
        <sz val="11"/>
        <color rgb="FF000000"/>
        <rFont val="Aptos Narrow"/>
      </rPr>
      <t xml:space="preserve">- United States: Bilingual English/Spanish teams for US Hispanic consumers
- Mexico: Monterrey, Guadalajara
- Costa Rica: San José
- Colombia: Bogotá
- Argentina: Buenos Aires
These locations support US Spanish and regional Spanish variants for customer service, disputes, and back‑office processing.
</t>
    </r>
    <r>
      <rPr>
        <b/>
        <sz val="11"/>
        <color rgb="FF000000"/>
        <rFont val="Aptos Narrow"/>
      </rPr>
      <t xml:space="preserve">French‑Canadian (and European French)
</t>
    </r>
    <r>
      <rPr>
        <sz val="11"/>
        <color rgb="FF000000"/>
        <rFont val="Aptos Narrow"/>
      </rPr>
      <t xml:space="preserve">- Canada: Bilingual delivery centers supporting French‑Canadian and English
- France: Paris (European French)
- Belgium: French/Dutch bilingual teams
- Romania, Poland: EU multilingual hubs supporting French for blended and written work
French‑Canadian delivery is handled by native or near‑native speakers with language‑specific quality assurance.
</t>
    </r>
    <r>
      <rPr>
        <b/>
        <sz val="11"/>
        <color rgb="FF000000"/>
        <rFont val="Aptos Narrow"/>
      </rPr>
      <t xml:space="preserve">German
</t>
    </r>
    <r>
      <rPr>
        <sz val="11"/>
        <color rgb="FF000000"/>
        <rFont val="Aptos Narrow"/>
      </rPr>
      <t xml:space="preserve">- Germany: Native German delivery centers
- Poland, Czech Republic, Hungary: Multilingual hubs supporting German and English
- Romania: German for back‑office and written interactions
Digital self‑service and AI‑assist tools are configured for German‑language terminology and regulatory messaging.
</t>
    </r>
    <r>
      <rPr>
        <b/>
        <sz val="11"/>
        <color rgb="FF000000"/>
        <rFont val="Aptos Narrow"/>
      </rPr>
      <t xml:space="preserve">Dutch
</t>
    </r>
    <r>
      <rPr>
        <sz val="11"/>
        <color rgb="FF000000"/>
        <rFont val="Aptos Narrow"/>
      </rPr>
      <t xml:space="preserve">- Netherlands: Dutch language support
- Belgium: Dutch/Flemish bilingual teams
- Poland, Romania: Multilingual EU hubs supporting Dutch for customer and back‑office services
</t>
    </r>
    <r>
      <rPr>
        <b/>
        <sz val="11"/>
        <color rgb="FF000000"/>
        <rFont val="Aptos Narrow"/>
      </rPr>
      <t xml:space="preserve">Portuguese
</t>
    </r>
    <r>
      <rPr>
        <sz val="11"/>
        <color rgb="FF000000"/>
        <rFont val="Aptos Narrow"/>
      </rPr>
      <t xml:space="preserve">- Brazil: São Paulo, Hortolândia (Brazilian Portuguese – primary hub)
- Portugal: Braga (European Portuguese, as required)
- Colombia / Costa Rica: Regional multilingual pods supporting Portuguese alongside Spanish and English
</t>
    </r>
    <r>
      <rPr>
        <b/>
        <sz val="11"/>
        <color rgb="FF000000"/>
        <rFont val="Aptos Narrow"/>
      </rPr>
      <t xml:space="preserve">Broader Multilingual Coverage
</t>
    </r>
    <r>
      <rPr>
        <sz val="11"/>
        <color rgb="FF000000"/>
        <rFont val="Aptos Narrow"/>
      </rPr>
      <t xml:space="preserve">Beyond the languages listed above, IBM supports a wide range of additional languages through its global delivery network, including:
- European languages: Italian, Polish, Czech, Hungarian, Spanish (EU), Greek, Nordic languages
- Asia‑Pacific languages: Mandarin, Cantonese, Japanese, Korean, Hindi, Tagalog, Malay
- Middle East &amp; Africa: Arabic, French/English combinations
Lower‑volume or written interactions can be supported through structured workflows and AI‑enabled translation under controlled quality and compliance standards.
</t>
    </r>
    <r>
      <rPr>
        <b/>
        <sz val="11"/>
        <color rgb="FF000000"/>
        <rFont val="Aptos Narrow"/>
      </rPr>
      <t xml:space="preserve">Summary
</t>
    </r>
    <r>
      <rPr>
        <sz val="11"/>
        <color rgb="FF000000"/>
        <rFont val="Aptos Narrow"/>
      </rPr>
      <t>IBM supports the full set of languages required for FIS TMS—including English (US/CA/UK), Spanish (US), French‑Canadian, German, Dutch, and Portuguese—through a diversified global delivery network. Language services are delivered primarily from IBM‑owned centers and are augmented by AI‑enabled self‑service and agent‑assist capabilities to ensure scalable, high‑quality, and compliant multilingual support.</t>
    </r>
  </si>
  <si>
    <r>
      <rPr>
        <b/>
        <sz val="11"/>
        <color rgb="FF000000"/>
        <rFont val="Aptos Narrow"/>
      </rPr>
      <t xml:space="preserve">Total Global Headcount and Workforce Mix
</t>
    </r>
    <r>
      <rPr>
        <sz val="11"/>
        <color rgb="FF000000"/>
        <rFont val="Aptos Narrow"/>
      </rPr>
      <t xml:space="preserve">IBM Consulting operates a large, global customer operations and managed services workforce supporting contact center and back‑office services across all geographies. The figures below reflect IBM’s Customer Operations / Customer Transformation BPO population and are provided as indicative ranges appropriate for an engagement of this nature. IBM can flex this mix based on FIS requirements, including increasing onshore or EU-based capacity to meet regulatory and client expectations.
</t>
    </r>
    <r>
      <rPr>
        <b/>
        <sz val="11"/>
        <color rgb="FF000000"/>
        <rFont val="Aptos Narrow"/>
      </rPr>
      <t xml:space="preserve">
Total Headcount (Global)
</t>
    </r>
    <r>
      <rPr>
        <sz val="11"/>
        <color rgb="FF000000"/>
        <rFont val="Aptos Narrow"/>
      </rPr>
      <t xml:space="preserve">- Approximate total BPO headcount: 22,000 FTE+
    - Distributed across 25+ dedicated BPO delivery centers and 30+ service and innovation centers worldwide
    - Supporting client programs across regulated and non‑regulated industries, including financial services
</t>
    </r>
    <r>
      <rPr>
        <b/>
        <sz val="11"/>
        <color rgb="FF000000"/>
        <rFont val="Aptos Narrow"/>
      </rPr>
      <t xml:space="preserve">Headcount Breakdown by Role
1) Front‑Office Agent FTE
</t>
    </r>
    <r>
      <rPr>
        <sz val="11"/>
        <color rgb="FF000000"/>
        <rFont val="Aptos Narrow"/>
      </rPr>
      <t xml:space="preserve">(Voice, chat, messaging, secured digital channels; Tier 1 / Tier 1.5 support)
- Approximate share: 55 – 65% of customer operations workforce
- Indicative range: 12,000 – 14,000 FTE globally
Front‑office agents are organized into journey‑ or product‑aligned squads and are augmented by AI‑assisted tools (agent assist, intelligent routing, self‑service deflection). Routine inquiries are increasingly handled by digital workers, with human agents focused on complex, regulated, or empathetic interactions.
</t>
    </r>
    <r>
      <rPr>
        <b/>
        <sz val="11"/>
        <color rgb="FF000000"/>
        <rFont val="Aptos Narrow"/>
      </rPr>
      <t xml:space="preserve">2) Back‑Office Agent FTE
</t>
    </r>
    <r>
      <rPr>
        <sz val="11"/>
        <color rgb="FF000000"/>
        <rFont val="Aptos Narrow"/>
      </rPr>
      <t xml:space="preserve">(Case management, disputes, chargebacks, account maintenance, exception handling, processing)
- Approximate share: 20 – 30%
- Indicative range: 4,500 – 6,500 FTE globally
Back‑office teams handle judgment‑based and regulated tasks and work alongside automation and digital workers that execute data gathering, validation, reconciliation, and workflow routing to improve cycle times and accuracy.
</t>
    </r>
    <r>
      <rPr>
        <b/>
        <sz val="11"/>
        <color rgb="FF000000"/>
        <rFont val="Aptos Narrow"/>
      </rPr>
      <t xml:space="preserve">
3) Support FTE
</t>
    </r>
    <r>
      <rPr>
        <sz val="11"/>
        <color rgb="FF000000"/>
        <rFont val="Aptos Narrow"/>
      </rPr>
      <t xml:space="preserve">(QA, WFM, training, operations management, analytics, AI ops, SMEs)
- Approximate share: 10–15%
- Indicative range: 2,000–3,000 FTE globally
Support roles include quality assurance, workforce planning, coaching and training, analytics and insights, delivery management, and dedicated AI operations and digital‑worker supervision roles that ensure performance, compliance, and continuous optimization.
</t>
    </r>
    <r>
      <rPr>
        <b/>
        <sz val="11"/>
        <color rgb="FF000000"/>
        <rFont val="Aptos Narrow"/>
      </rPr>
      <t xml:space="preserve">Onshore / Nearshore / Offshore Split (Human FTE)
</t>
    </r>
    <r>
      <rPr>
        <sz val="11"/>
        <color rgb="FF000000"/>
        <rFont val="Aptos Narrow"/>
      </rPr>
      <t xml:space="preserve">IBM’s delivery model is intentionally global, balancing regulatory, language, cost, and resiliency requirements.
- Onshore: ~25–30%
    - United States, Canada, Western Europe, Japan, Australia
    - Focus on regulated work, client‑specific constraints, senior escalation handling, and leadership roles
- Nearshore: ~25–30%
    - Latin America, Eastern Europe, select EMEA hubs
    - Multilingual coverage, regional alignment, and cost‑efficient delivery for voice and digital channels
- Offshore: ~40–50%
    - India, Philippines, and select Asia‑Pacific locations
    - Primary scale engines for omnichannel Tier 1 support, back‑office processing, and AI/automation operations
</t>
    </r>
    <r>
      <rPr>
        <b/>
        <sz val="11"/>
        <color rgb="FF000000"/>
        <rFont val="Aptos Narrow"/>
      </rPr>
      <t xml:space="preserve">Digital Workforce Context
</t>
    </r>
    <r>
      <rPr>
        <sz val="11"/>
        <color rgb="FF000000"/>
        <rFont val="Aptos Narrow"/>
      </rPr>
      <t xml:space="preserve">In parallel with human FTE, IBM deploys a significant digital workforce (virtual agents, automated workflows, agentic AI) that handles or accelerates 60–80% of eligible contacts and transactions in mature programs. These are governed through IBM’s enterprise AI Control Centre and are not counted as human FTE, but materially reduce cost‑to‑serve and scale requirements.
</t>
    </r>
    <r>
      <rPr>
        <b/>
        <sz val="11"/>
        <color rgb="FF000000"/>
        <rFont val="Aptos Narrow"/>
      </rPr>
      <t xml:space="preserve">Summary
</t>
    </r>
    <r>
      <rPr>
        <sz val="11"/>
        <color rgb="FF000000"/>
        <rFont val="Aptos Narrow"/>
      </rPr>
      <t>IBM operates a global customer operations workforce of approximately 22,000 FTE, with a balanced mix of front‑office, back‑office, and support roles and an approximately 25–30% onshore / 25–30% nearshore / 40–50% offshore distribution. This human workforce is complemented by a large, governed digital workforce, enabling scalable, compliant, and cost‑efficient delivery for large, regulated managed services programs such as FIS TMS.</t>
    </r>
  </si>
  <si>
    <r>
      <rPr>
        <b/>
        <sz val="11"/>
        <color rgb="FF000000"/>
        <rFont val="Aptos Narrow"/>
      </rPr>
      <t>Voluntary Agent Attrition – Last Three Calendar Years</t>
    </r>
    <r>
      <rPr>
        <sz val="11"/>
        <color rgb="FF000000"/>
        <rFont val="Aptos Narrow"/>
      </rPr>
      <t xml:space="preserve">
IBM Consulting’s customer operations and contact center services maintain voluntary attrition rates that are materially below typical BPO industry benchmarks, particularly for regulated and financial‑services programs. This performance is supported by our AI‑enabled operating model, structured career paths, and proactive workforce management.
While IBM does not disclose client‑ or site‑specific attrition figures, the data below reflects representative voluntary attrition ranges across our global Customer Care and Customer Operations portfolio for the last three calendar years, with geographic differentiation where material.
</t>
    </r>
    <r>
      <rPr>
        <b/>
        <sz val="11"/>
        <color rgb="FF000000"/>
        <rFont val="Aptos Narrow"/>
      </rPr>
      <t>Voluntary Attrition – Global (Frontline Agents)</t>
    </r>
    <r>
      <rPr>
        <sz val="11"/>
        <color rgb="FF000000"/>
        <rFont val="Aptos Narrow"/>
      </rPr>
      <t xml:space="preserve">
- Global average (last 3 years): ~18 – 22% per annum
- Attrition has remained relatively stable year‑over‑year, with modest improvement in mature, AI‑enabled programs where automation and self‑service reduce agent workload and burnout.
</t>
    </r>
    <r>
      <rPr>
        <b/>
        <sz val="11"/>
        <color rgb="FF000000"/>
        <rFont val="Aptos Narrow"/>
      </rPr>
      <t xml:space="preserve">Voluntary Attrition by Geography (Indicative Ranges)
North America (United States, Canada)
</t>
    </r>
    <r>
      <rPr>
        <sz val="11"/>
        <color rgb="FF000000"/>
        <rFont val="Aptos Narrow"/>
      </rPr>
      <t xml:space="preserve">- ~15 – 20%
- Generally lower attrition on regulated and complex programs, including financial services, where roles emphasize problem resolution, judgment, and customer advocacy rather than high‑volume transactional handling.
</t>
    </r>
    <r>
      <rPr>
        <b/>
        <sz val="11"/>
        <color rgb="FF000000"/>
        <rFont val="Aptos Narrow"/>
      </rPr>
      <t xml:space="preserve">
Nearshore Americas (Latin America)
</t>
    </r>
    <r>
      <rPr>
        <sz val="11"/>
        <color rgb="FF000000"/>
        <rFont val="Aptos Narrow"/>
      </rPr>
      <t xml:space="preserve">(e.g., Mexico, Costa Rica, Colombia, Argentina, Brazil)
- ~18 – 22%
- Attrition varies by local labor markets and wage dynamics but remains below regional BPO averages due to bilingual career paths, cross‑training, and AI‑supported operations.
</t>
    </r>
    <r>
      <rPr>
        <b/>
        <sz val="11"/>
        <color rgb="FF000000"/>
        <rFont val="Aptos Narrow"/>
      </rPr>
      <t>Europe (Western, Central &amp; Eastern Europe)</t>
    </r>
    <r>
      <rPr>
        <sz val="11"/>
        <color rgb="FF000000"/>
        <rFont val="Aptos Narrow"/>
      </rPr>
      <t xml:space="preserve">
- ~12 – 18%
- Typically the lowest attrition globally, particularly in multilingual and regulated environments (e.g., financial services, healthcare), where tenure and specialist skill depth are higher.
</t>
    </r>
    <r>
      <rPr>
        <b/>
        <sz val="11"/>
        <color rgb="FF000000"/>
        <rFont val="Aptos Narrow"/>
      </rPr>
      <t>Asia‑Pacific (India, Philippines, other APAC hubs)</t>
    </r>
    <r>
      <rPr>
        <sz val="11"/>
        <color rgb="FF000000"/>
        <rFont val="Aptos Narrow"/>
      </rPr>
      <t xml:space="preserve">
- ~20 – 24%
- These are structurally more competitive labor markets; however, IBM’s attrition remains favorable relative to local benchmarks, with stabilized financial‑services programs trending toward the lower end of this range.
</t>
    </r>
    <r>
      <rPr>
        <b/>
        <sz val="11"/>
        <color rgb="FF000000"/>
        <rFont val="Aptos Narrow"/>
      </rPr>
      <t>Middle East &amp; Africa / Smaller Delivery Hubs</t>
    </r>
    <r>
      <rPr>
        <sz val="11"/>
        <color rgb="FF000000"/>
        <rFont val="Aptos Narrow"/>
      </rPr>
      <t xml:space="preserve">
- ~15 – 22%
- Attrition varies by language mix and market maturity but is generally consistent with nearshore performance.
</t>
    </r>
    <r>
      <rPr>
        <b/>
        <sz val="11"/>
        <color rgb="FF000000"/>
        <rFont val="Aptos Narrow"/>
      </rPr>
      <t>Context and Stabilization</t>
    </r>
    <r>
      <rPr>
        <sz val="11"/>
        <color rgb="FF000000"/>
        <rFont val="Aptos Narrow"/>
      </rPr>
      <t xml:space="preserve">
- Total attrition (voluntary + involuntary) across large‑scale customer operations typically falls in the ~22–26% range annually.
- Mature, long‑running programs—especially in financial services—frequently operate below 20% total attrition once stabilized.
</t>
    </r>
    <r>
      <rPr>
        <b/>
        <sz val="11"/>
        <color rgb="FF000000"/>
        <rFont val="Aptos Narrow"/>
      </rPr>
      <t>Key Drivers of Attrition Performance</t>
    </r>
    <r>
      <rPr>
        <sz val="11"/>
        <color rgb="FF000000"/>
        <rFont val="Aptos Narrow"/>
      </rPr>
      <t xml:space="preserve">
Attrition outcomes are driven by several structural elements embedded in IBM’s delivery model:
- AI‑enabled workload reduction: Automation, virtual agents, and digital workflows handle a significant share of routine interactions, reducing cognitive load and burnout for human agents.
- Self‑service and containment: Mature programs often achieve 40 – 60%+ digital containment, shifting agents toward more complex and meaningful work.
- Proactive workforce monitoring: Workforce signals (schedule adherence, quality trends, workload spikes) are monitored continuously to enable early intervention.
- Clear career progression: Defined advancement paths (agent → senior agent → SME → team lead / analyst) support longer tenure across geographies.
- Stabilization curve: On new programs or post‑transition, attrition initially reflects inherited workforce dynamics; within 12–18 months, programs typically converge to the ranges shown above as the operating model matures.
</t>
    </r>
    <r>
      <rPr>
        <b/>
        <sz val="11"/>
        <color rgb="FF000000"/>
        <rFont val="Aptos Narrow"/>
      </rPr>
      <t>Summary</t>
    </r>
    <r>
      <rPr>
        <sz val="11"/>
        <color rgb="FF000000"/>
        <rFont val="Aptos Narrow"/>
      </rPr>
      <t xml:space="preserve">
Over the last three calendar years, IBM’s voluntary agent attrition has averaged ~18–22% globally, with Europe at the low end, North America and nearshore centers in the mid‑range, and major APAC hubs higher but still competitive versus market benchmarks. These levels support continuity, productivity, and service stability for large‑scale, regulated engagements such as FIS TMS.</t>
    </r>
  </si>
  <si>
    <r>
      <rPr>
        <b/>
        <sz val="11"/>
        <color rgb="FF000000"/>
        <rFont val="Aptos Narrow"/>
      </rPr>
      <t>Average Agent Tenure by Function</t>
    </r>
    <r>
      <rPr>
        <sz val="11"/>
        <color rgb="FF000000"/>
        <rFont val="Aptos Narrow"/>
        <family val="2"/>
        <charset val="1"/>
      </rPr>
      <t xml:space="preserve">
Across IBM Consulting’s Customer Operations and Managed Services portfolio, we maintain strong and stable tenure profiles, particularly in regulated financial‑services environments. IBM’s tenure profile supports continuity and knowledge retention critical for regulated financial services operations such as those within FIS. Our operating model—combining experienced human talent with AI‑enabled automation and structured career progression—supports retention above industry averages for comparable scopes.
The figures below reflect typical average tenure observed across large‑scale customer service and back‑office programs similar in complexity to FIS TMS. Actual tenure varies by geography and program maturity, but these ranges are representative of steady‑state delivery.
</t>
    </r>
    <r>
      <rPr>
        <b/>
        <sz val="11"/>
        <color rgb="FF000000"/>
        <rFont val="Aptos Narrow"/>
      </rPr>
      <t>Average Agent Tenure (Overall)</t>
    </r>
    <r>
      <rPr>
        <sz val="11"/>
        <color rgb="FF000000"/>
        <rFont val="Aptos Narrow"/>
        <family val="2"/>
        <charset val="1"/>
      </rPr>
      <t xml:space="preserve">
- Overall average tenure: ~3.0 – 3.5 years
- Mature programs (steady‑state): Senior agents, specialists, and SMEs commonly reach 4.0–5.0+ years
</t>
    </r>
    <r>
      <rPr>
        <b/>
        <sz val="11"/>
        <color rgb="FF000000"/>
        <rFont val="Aptos Narrow"/>
      </rPr>
      <t>Tenure by Primary Function</t>
    </r>
    <r>
      <rPr>
        <sz val="11"/>
        <color rgb="FF000000"/>
        <rFont val="Aptos Narrow"/>
        <family val="2"/>
        <charset val="1"/>
      </rPr>
      <t xml:space="preserve">
Customer Service (Customer Care, Servicing, Advocacy)
- Frontline agents: 2.5 – 3.0 years
- Senior agents / SMEs / team leads: 3.5 – 5.0+ years
Customer service roles benefit from AI‑assisted tools and self‑service deflection that reduce repetitive work and support higher job satisfaction and longer tenure.
</t>
    </r>
    <r>
      <rPr>
        <b/>
        <sz val="11"/>
        <color rgb="FF000000"/>
        <rFont val="Aptos Narrow"/>
      </rPr>
      <t>Fraud Operations</t>
    </r>
    <r>
      <rPr>
        <sz val="11"/>
        <color rgb="FF000000"/>
        <rFont val="Aptos Narrow"/>
        <family val="2"/>
        <charset val="1"/>
      </rPr>
      <t xml:space="preserve">
- Fraud analysts: 3.0 – 3.5 years
- Senior fraud specialists / investigators: 4.0 – 5.0+ years
Fraud roles typically demonstrate higher tenure due to specialized training, regulatory skill depth, and clear progression paths into senior analyst and QA roles.
</t>
    </r>
    <r>
      <rPr>
        <b/>
        <sz val="11"/>
        <color rgb="FF000000"/>
        <rFont val="Aptos Narrow"/>
      </rPr>
      <t xml:space="preserve">Disputes &amp; Chargebacks
</t>
    </r>
    <r>
      <rPr>
        <sz val="11"/>
        <color rgb="FF000000"/>
        <rFont val="Aptos Narrow"/>
        <family val="2"/>
        <charset val="1"/>
      </rPr>
      <t xml:space="preserve">- Disputes analysts: 3.0 – 3.5 years
- Senior dispute / chargeback specialists: 4.0 – 5.0+ years
These roles require scheme‑rule expertise and judgment‑based decisioning, supporting longer tenure relative to general customer service functions.
</t>
    </r>
    <r>
      <rPr>
        <b/>
        <sz val="11"/>
        <color rgb="FF000000"/>
        <rFont val="Aptos Narrow"/>
      </rPr>
      <t>Debt &amp; Collections</t>
    </r>
    <r>
      <rPr>
        <sz val="11"/>
        <color rgb="FF000000"/>
        <rFont val="Aptos Narrow"/>
        <family val="2"/>
        <charset val="1"/>
      </rPr>
      <t xml:space="preserve">
- Early‑stage / financial care agents: 2.5 – 3.0 years
- Senior collectors / hardship specialists: 3.5 – 4.5+ years
Tenure is supported through analytics‑driven segmentation, empathetic servicing models, and automation that handles routine outreach and account actions.
</t>
    </r>
    <r>
      <rPr>
        <b/>
        <sz val="11"/>
        <color rgb="FF000000"/>
        <rFont val="Aptos Narrow"/>
      </rPr>
      <t>Back Office (Processing, Case Management, Operations Support)</t>
    </r>
    <r>
      <rPr>
        <sz val="11"/>
        <color rgb="FF000000"/>
        <rFont val="Aptos Narrow"/>
        <family val="2"/>
        <charset val="1"/>
      </rPr>
      <t xml:space="preserve">
- Processors / case handlers: 3.0 – 3.5 years
- Senior processors / SMEs: 4.0 – 5.0+ years
Back‑office teams typically show strong stability, with clear career paths into QA, analytics, and supervisory roles.
</t>
    </r>
    <r>
      <rPr>
        <b/>
        <sz val="11"/>
        <color rgb="FF000000"/>
        <rFont val="Aptos Narrow"/>
      </rPr>
      <t>Risk &amp; Compliance (AML, KYC, Conduct, Regulatory Operations)</t>
    </r>
    <r>
      <rPr>
        <sz val="11"/>
        <color rgb="FF000000"/>
        <rFont val="Aptos Narrow"/>
        <family val="2"/>
        <charset val="1"/>
      </rPr>
      <t xml:space="preserve">
- Analysts: 3.5 – 4.0+ years
- Senior analysts / compliance specialists / QA: 4.5 – 6.0+ years
Risk and compliance functions exhibit some of IBM’s longest tenure, reflecting the depth of domain knowledge required and strong professional development pathways.
</t>
    </r>
    <r>
      <rPr>
        <b/>
        <sz val="11"/>
        <color rgb="FF000000"/>
        <rFont val="Aptos Narrow"/>
      </rPr>
      <t>Stability Drivers</t>
    </r>
    <r>
      <rPr>
        <sz val="11"/>
        <color rgb="FF000000"/>
        <rFont val="Aptos Narrow"/>
        <family val="2"/>
        <charset val="1"/>
      </rPr>
      <t xml:space="preserve">
Across all functions, tenure is sustained through:
- Automation and AI‑enabled workflows that reduce repetitive tasks and burnout
- Structured role progression (agent → senior agent → SME → lead / analyst)
- Continuous training and certification aligned to regulated environments
- Proactive workforce management and performance monitoring
On new programs, tenure naturally reflects the inherited workforce profile during transition. Within 12–18 months of stabilization, programs typically converge to the ranges above and continue to improve as automation and process maturity increase.
</t>
    </r>
    <r>
      <rPr>
        <b/>
        <sz val="11"/>
        <color rgb="FF000000"/>
        <rFont val="Aptos Narrow"/>
      </rPr>
      <t>Summary</t>
    </r>
    <r>
      <rPr>
        <sz val="11"/>
        <color rgb="FF000000"/>
        <rFont val="Aptos Narrow"/>
        <family val="2"/>
        <charset val="1"/>
      </rPr>
      <t xml:space="preserve">
IBM’s average agent tenure across customer service and back‑office operations is ~3.0–3.5 years overall, with higher tenure in regulated, judgment‑based functions such as fraud, disputes, and risk &amp; compliance. This stability supports service continuity, SLA reliability, and effective knowledge retention for large‑scale, regulated managed services programs like FIS TMS.</t>
    </r>
  </si>
  <si>
    <r>
      <rPr>
        <b/>
        <sz val="11"/>
        <color rgb="FF000000"/>
        <rFont val="Aptos Narrow"/>
      </rPr>
      <t xml:space="preserve">Industry‑Relevant Certifications, Training Frameworks, and Accreditations
</t>
    </r>
    <r>
      <rPr>
        <sz val="11"/>
        <color rgb="FF000000"/>
        <rFont val="Aptos Narrow"/>
      </rPr>
      <t xml:space="preserve">Yes. IBM maintains a comprehensive set of corporate certifications, workforce training frameworks, and role‑based accreditations specifically applicable to financial services contact center and back‑office operations. These credentials are embedded into delivery governance and are mandatory for practitioners supporting regulated financial services activities.
</t>
    </r>
    <r>
      <rPr>
        <b/>
        <sz val="11"/>
        <color rgb="FF000000"/>
        <rFont val="Aptos Narrow"/>
      </rPr>
      <t xml:space="preserve">
1. Enterprise Certifications and Control Frameworks
</t>
    </r>
    <r>
      <rPr>
        <sz val="11"/>
        <color rgb="FF000000"/>
        <rFont val="Aptos Narrow"/>
      </rPr>
      <t xml:space="preserve">IBM operates financial services contact center and back‑office services within a certified and independently attested control environment, including:
- ISO 27001 – Information Security Management
IBM maintains an ISO 27001–certified Information Security Management System (ISMS), providing structured controls for the protection of customer data, PII, authentication credentials, and financial information across all delivery locations and channels.
- ISO 9001 – Quality Management
IBM’s ISO 9001–certified quality framework governs process design, training, quality assurance, error management, and continuous improvement for contact center and back‑office operations, supporting regulatory accuracy and consistency.
- SOC 1 / SOC 2 / SOC 3
IBM maintains independently audited SOC reports covering controls related to security, availability, processing integrity, confidentiality, and privacy. These reports are commonly used by financial services clients for vendor risk and audit purposes.
- PCI DSS
For services involving payment card data, IBM operates PCI DSS–aligned delivery environments, including segmented cardholder data environments, restricted access controls, secure agent desktops, and continuous monitoring.
- Global Data Privacy Compliance
IBM aligns with applicable global and regional privacy regulations (e.g., GDPR and equivalent regimes), including lawful processing, data minimization, retention controls, and cross‑border data transfer safeguards required for multinational financial services programs.
</t>
    </r>
    <r>
      <rPr>
        <b/>
        <sz val="11"/>
        <color rgb="FF000000"/>
        <rFont val="Aptos Narrow"/>
      </rPr>
      <t xml:space="preserve">
2. Agent‑Level Certifications and Mandatory Training
</t>
    </r>
    <r>
      <rPr>
        <sz val="11"/>
        <color rgb="FF000000"/>
        <rFont val="Aptos Narrow"/>
      </rPr>
      <t xml:space="preserve">All practitioners supporting financial services contact center operations are subject to role‑based certification and ongoing compliance training, including:
- Regulatory and Compliance Training
Mandatory onboarding and recurring training covering:
    - AML and KYC awareness
    - Fraud awareness and escalation procedures
    - Fair treatment of customers and conduct risk
    - Complaints handling and regulatory timeframes
    - Sensitive data handling and privacy obligations
- Role‑Based Account Certification
Agents must complete and pass formal certification prior to handling live customer interactions. Certification includes:
    - Identity verification and authentication protocols
    - Required scripts, disclosures, and consent language
    - Product‑specific servicing requirements (e.g., cards, deposits, loans)
    - Escalation and exception handling aligned to regulatory standards
- Continuous Learning and Re‑Certification
Knowledge refreshers, assessments, and targeted retraining are triggered by regulation changes, process updates, or QA findings to ensure sustained compliance.
</t>
    </r>
    <r>
      <rPr>
        <b/>
        <sz val="11"/>
        <color rgb="FF000000"/>
        <rFont val="Aptos Narrow"/>
      </rPr>
      <t xml:space="preserve">3. Quality, Analytics, and Leadership Credentials
</t>
    </r>
    <r>
      <rPr>
        <sz val="11"/>
        <color rgb="FF000000"/>
        <rFont val="Aptos Narrow"/>
      </rPr>
      <t xml:space="preserve">IBM’s support and leadership workforce includes professionals with recognized quality and operational excellence credentials:
- Lean / Six Sigma (Green and Black Belt) applied to contact center optimization, error reduction, and compliance‑critical workflows such as disputes and investigations
- Project and Delivery Management Training aligned to PMI and IBM internal standards
- Dedicated Quality Assurance and Compliance Leads trained in monitoring regulated interactions and resolving root causes
Quality teams leverage a combination of human QA and AI‑enabled speech/text analytics to identify compliance risks, missed disclosures, and training gaps across 100% of interactions.
</t>
    </r>
    <r>
      <rPr>
        <b/>
        <sz val="11"/>
        <color rgb="FF000000"/>
        <rFont val="Aptos Narrow"/>
      </rPr>
      <t xml:space="preserve">4. AI‑Enabled Training and Compliance Enablement
</t>
    </r>
    <r>
      <rPr>
        <sz val="11"/>
        <color rgb="FF000000"/>
        <rFont val="Aptos Narrow"/>
      </rPr>
      <t xml:space="preserve">IBM augments traditional training with AI‑enabled learning and compliance support, including:
- Simulation‑based learning using real‑world financial services scenarios (e.g., fraud indicators, hardship cases, regulatory complaints)
- AI‑assisted prompts and guidance to support compliant language and next‑best actions during live interactions
- Continuous feedback loops linking QA findings directly to personalized coaching and retraining plans
These capabilities are governed through IBM’s enterprise AI Control Centre, ensuring transparency, auditability, and safe use of AI in regulated environments.
</t>
    </r>
    <r>
      <rPr>
        <b/>
        <sz val="11"/>
        <color rgb="FF000000"/>
        <rFont val="Aptos Narrow"/>
      </rPr>
      <t xml:space="preserve">Summary
</t>
    </r>
    <r>
      <rPr>
        <sz val="11"/>
        <color rgb="FF000000"/>
        <rFont val="Aptos Narrow"/>
      </rPr>
      <t>IBM’s financial services contact center workforce operates under a robust ecosystem of enterprise certifications, role‑based training, and continuous compliance governance, including ISO, SOC, PCI DSS, and global privacy frameworks. Combined with mandatory regulatory training and AI‑enabled quality oversight, these accreditations equip IBM teams to deliver secure, compliant, and high‑quality financial services contact center operations at scale.</t>
    </r>
  </si>
  <si>
    <t>Details have been listed in Tab 7.0 Client Migration</t>
  </si>
  <si>
    <t>IBM Investment - AI / Automation SMEs, Data Scientists, Data Engineers</t>
  </si>
  <si>
    <t>Back office Headcount split has not provided. Therefore for the purposes of this submission, the provided HC has been assumed to be servicing T1 and T2.  We can update the solution once this data is provided during furture workshops.</t>
  </si>
  <si>
    <t>$11.3M investment outlined in sections 5.4 and 6.3 are contingent upon IBM being awarded the full scope of this RFP.  In the event that IBM is awarded a subset of the scope, the investment will be adjusted.
In addition, we would like to have a conversation about the UK site possible takeover.</t>
  </si>
  <si>
    <t>Back office HC split was not provided.  Therefore provided HC has been assumed towards Tier1 and Tier2 scope. We will update the solution once the HC split for Backoffice  is provided</t>
  </si>
  <si>
    <t>As advised by FIS during Q&amp;A, this table is a duplicate. Please refer to table completed in section 7.4 of this workbook.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</si>
</sst>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6" formatCode="&quot;$&quot;#,##0_);[Red]\(&quot;$&quot;#,##0\)"/>
    <numFmt numFmtId="8" formatCode="&quot;$&quot;#,##0.00_);[Red]\(&quot;$&quot;#,##0.00\)"/>
    <numFmt numFmtId="44" formatCode="_(&quot;$&quot;* #,##0.00_);_(&quot;$&quot;* \(#,##0.00\);_(&quot;$&quot;* &quot;-&quot;??_);_(@_)"/>
    <numFmt numFmtId="164" formatCode="_([$$-409]* #,##0.00_);_([$$-409]* \(#,##0.00\);_([$$-409]* &quot;-&quot;??_);_(@_)"/>
    <numFmt numFmtId="165" formatCode="&quot;$&quot;#,##0.00"/>
  </numFmts>
  <fonts count="68" x14ac:knownFonts="1">
    <font>
      <sz val="11"/>
      <color theme="1"/>
      <name val="Calibri"/>
      <family val="2"/>
      <scheme val="minor"/>
    </font>
    <font>
      <sz val="14"/>
      <color theme="1"/>
      <name val="Calibri"/>
      <family val="2"/>
      <scheme val="minor"/>
    </font>
    <font>
      <sz val="11"/>
      <color theme="1"/>
      <name val="Aptos"/>
      <family val="2"/>
    </font>
    <font>
      <b/>
      <sz val="11"/>
      <color rgb="FF1D1F48"/>
      <name val="Aptos"/>
      <family val="2"/>
    </font>
    <font>
      <i/>
      <sz val="11"/>
      <color rgb="FF6B6B80"/>
      <name val="Aptos"/>
      <family val="2"/>
    </font>
    <font>
      <i/>
      <sz val="11"/>
      <color rgb="FF888888"/>
      <name val="Aptos"/>
      <family val="2"/>
    </font>
    <font>
      <b/>
      <sz val="11"/>
      <color rgb="FFFFFFFF"/>
      <name val="Aptos"/>
      <family val="2"/>
    </font>
    <font>
      <b/>
      <u/>
      <sz val="11"/>
      <color rgb="FF1D1F48"/>
      <name val="Aptos"/>
      <family val="2"/>
    </font>
    <font>
      <sz val="11"/>
      <color rgb="FF3C3C40"/>
      <name val="Aptos"/>
      <family val="2"/>
    </font>
    <font>
      <i/>
      <sz val="11"/>
      <color rgb="FF595959"/>
      <name val="Aptos"/>
      <family val="2"/>
    </font>
    <font>
      <b/>
      <sz val="11"/>
      <color rgb="FF3C3C40"/>
      <name val="Aptos"/>
      <family val="2"/>
    </font>
    <font>
      <i/>
      <sz val="11"/>
      <color rgb="FF555555"/>
      <name val="Aptos"/>
      <family val="2"/>
    </font>
    <font>
      <i/>
      <sz val="11"/>
      <color rgb="FF666666"/>
      <name val="Aptos"/>
      <family val="2"/>
    </font>
    <font>
      <b/>
      <sz val="15"/>
      <color rgb="FF1D1F48"/>
      <name val="Aptos"/>
      <family val="2"/>
    </font>
    <font>
      <sz val="11"/>
      <name val="Aptos"/>
      <family val="2"/>
    </font>
    <font>
      <sz val="8"/>
      <name val="Calibri"/>
      <family val="2"/>
      <scheme val="minor"/>
    </font>
    <font>
      <sz val="11"/>
      <color theme="1"/>
      <name val="Calibri"/>
      <family val="2"/>
      <scheme val="minor"/>
    </font>
    <font>
      <sz val="15"/>
      <color theme="1"/>
      <name val="Calibri"/>
      <family val="2"/>
      <scheme val="minor"/>
    </font>
    <font>
      <sz val="15"/>
      <color theme="1"/>
      <name val="Aptos"/>
      <family val="2"/>
    </font>
    <font>
      <b/>
      <sz val="11"/>
      <color rgb="FFFFFFFF"/>
      <name val="Aptos"/>
    </font>
    <font>
      <sz val="11"/>
      <color theme="1"/>
      <name val="Aptos"/>
    </font>
    <font>
      <i/>
      <sz val="11"/>
      <color rgb="FF595959"/>
      <name val="Aptos"/>
    </font>
    <font>
      <sz val="11"/>
      <color rgb="FF3C3C40"/>
      <name val="Aptos"/>
    </font>
    <font>
      <sz val="11"/>
      <color rgb="FFFF0000"/>
      <name val="Calibri"/>
      <family val="2"/>
      <scheme val="minor"/>
    </font>
    <font>
      <i/>
      <sz val="11"/>
      <color rgb="FF888888"/>
      <name val="Aptos"/>
    </font>
    <font>
      <i/>
      <sz val="11"/>
      <color rgb="FF0000FF"/>
      <name val="Aptos"/>
      <family val="2"/>
    </font>
    <font>
      <sz val="11"/>
      <color rgb="FF000000"/>
      <name val="Aptos"/>
      <family val="2"/>
    </font>
    <font>
      <sz val="11"/>
      <color rgb="FF666666"/>
      <name val="Aptos"/>
      <family val="2"/>
    </font>
    <font>
      <b/>
      <sz val="11"/>
      <color rgb="FF666666"/>
      <name val="Aptos"/>
      <family val="2"/>
    </font>
    <font>
      <b/>
      <strike/>
      <sz val="11"/>
      <color rgb="FFFFFFFF"/>
      <name val="Aptos"/>
      <family val="2"/>
    </font>
    <font>
      <sz val="11"/>
      <color rgb="FF1D1F48"/>
      <name val="Aptos"/>
      <family val="2"/>
    </font>
    <font>
      <b/>
      <sz val="11"/>
      <color rgb="FFFF0000"/>
      <name val="Aptos"/>
      <family val="2"/>
    </font>
    <font>
      <sz val="11"/>
      <color rgb="FFFF0000"/>
      <name val="Aptos"/>
      <family val="2"/>
    </font>
    <font>
      <i/>
      <sz val="11"/>
      <color rgb="FFFF0000"/>
      <name val="Aptos"/>
      <family val="2"/>
    </font>
    <font>
      <sz val="11"/>
      <color rgb="FF000000"/>
      <name val="Aptos Narrow"/>
      <family val="2"/>
      <charset val="1"/>
    </font>
    <font>
      <b/>
      <sz val="11"/>
      <color rgb="FF000000"/>
      <name val="Aptos"/>
    </font>
    <font>
      <sz val="11"/>
      <color rgb="FF000000"/>
      <name val="Aptos"/>
    </font>
    <font>
      <b/>
      <sz val="14"/>
      <color rgb="FF000000"/>
      <name val="Aptos Narrow"/>
      <family val="2"/>
      <charset val="1"/>
    </font>
    <font>
      <b/>
      <sz val="11"/>
      <color rgb="FF000000"/>
      <name val="Aptos Narrow"/>
      <family val="2"/>
      <charset val="1"/>
    </font>
    <font>
      <sz val="11"/>
      <color rgb="FF000000"/>
      <name val="Calibri"/>
      <family val="2"/>
      <charset val="1"/>
    </font>
    <font>
      <sz val="11"/>
      <color rgb="FF000000"/>
      <name val="Aptos Narrow"/>
      <family val="2"/>
    </font>
    <font>
      <b/>
      <sz val="12"/>
      <color rgb="FFFFFFFF"/>
      <name val="Aptos"/>
      <family val="2"/>
    </font>
    <font>
      <b/>
      <sz val="12"/>
      <color rgb="FF000000"/>
      <name val="Aptos"/>
      <family val="2"/>
    </font>
    <font>
      <b/>
      <sz val="11"/>
      <color rgb="FF000000"/>
      <name val="Aptos"/>
      <family val="2"/>
    </font>
    <font>
      <sz val="9.9499999999999993"/>
      <color rgb="FF000000"/>
      <name val="Aptos"/>
      <family val="2"/>
    </font>
    <font>
      <b/>
      <sz val="9.9499999999999993"/>
      <color rgb="FF000000"/>
      <name val="Aptos"/>
      <family val="2"/>
    </font>
    <font>
      <b/>
      <sz val="9.9499999999999993"/>
      <color rgb="FF4BCD3E"/>
      <name val="Aptos"/>
      <family val="2"/>
    </font>
    <font>
      <b/>
      <sz val="9.9499999999999993"/>
      <color rgb="FF808080"/>
      <name val="Aptos"/>
      <family val="2"/>
    </font>
    <font>
      <b/>
      <sz val="9.9499999999999993"/>
      <color rgb="FF05A399"/>
      <name val="Aptos"/>
      <family val="2"/>
    </font>
    <font>
      <b/>
      <sz val="9.9499999999999993"/>
      <color rgb="FF454BAD"/>
      <name val="Aptos"/>
      <family val="2"/>
    </font>
    <font>
      <sz val="12"/>
      <color rgb="FF000000"/>
      <name val="Aptos"/>
      <family val="2"/>
    </font>
    <font>
      <sz val="12"/>
      <color rgb="FF161616"/>
      <name val="Aptos"/>
    </font>
    <font>
      <sz val="12"/>
      <color rgb="FF000000"/>
      <name val="Aptos"/>
    </font>
    <font>
      <b/>
      <sz val="11"/>
      <color theme="1"/>
      <name val="Calibri"/>
      <family val="2"/>
      <scheme val="minor"/>
    </font>
    <font>
      <sz val="11"/>
      <name val="Aptos"/>
    </font>
    <font>
      <b/>
      <sz val="11"/>
      <color rgb="FFFF0000"/>
      <name val="Aptos"/>
    </font>
    <font>
      <i/>
      <sz val="11"/>
      <color rgb="FF000000"/>
      <name val="Aptos"/>
    </font>
    <font>
      <sz val="11"/>
      <color rgb="FF000000"/>
      <name val="Calibri"/>
      <family val="2"/>
      <scheme val="minor"/>
    </font>
    <font>
      <i/>
      <sz val="11"/>
      <color rgb="FF000000"/>
      <name val="Aptos"/>
      <family val="2"/>
    </font>
    <font>
      <b/>
      <sz val="14"/>
      <color theme="1"/>
      <name val="Calibri"/>
      <family val="2"/>
      <scheme val="minor"/>
    </font>
    <font>
      <i/>
      <sz val="11"/>
      <color rgb="FF666666"/>
      <name val="Aptos"/>
    </font>
    <font>
      <b/>
      <sz val="11"/>
      <color theme="0"/>
      <name val="Aptos"/>
      <family val="2"/>
    </font>
    <font>
      <b/>
      <sz val="11"/>
      <color theme="0"/>
      <name val="Aptos"/>
    </font>
    <font>
      <b/>
      <sz val="11"/>
      <color rgb="FF3C3C40"/>
      <name val="Aptos"/>
    </font>
    <font>
      <b/>
      <sz val="11"/>
      <color rgb="FF000000"/>
      <name val="Aptos Narrow"/>
    </font>
    <font>
      <sz val="11"/>
      <color rgb="FF000000"/>
      <name val="Aptos Narrow"/>
    </font>
    <font>
      <sz val="18"/>
      <color rgb="FFFFFF00"/>
      <name val="Calibri"/>
      <family val="2"/>
      <scheme val="minor"/>
    </font>
    <font>
      <sz val="11"/>
      <color rgb="FFFFFF00"/>
      <name val="Calibri"/>
      <family val="2"/>
      <scheme val="minor"/>
    </font>
  </fonts>
  <fills count="13">
    <fill>
      <patternFill patternType="none"/>
    </fill>
    <fill>
      <patternFill patternType="gray125"/>
    </fill>
    <fill>
      <patternFill patternType="solid">
        <fgColor rgb="FF4BCD3E"/>
      </patternFill>
    </fill>
    <fill>
      <patternFill patternType="solid">
        <fgColor rgb="FF1D1F48"/>
      </patternFill>
    </fill>
    <fill>
      <patternFill patternType="solid">
        <fgColor rgb="FFFFFFFF"/>
      </patternFill>
    </fill>
    <fill>
      <patternFill patternType="solid">
        <fgColor rgb="FFE2E3F3"/>
      </patternFill>
    </fill>
    <fill>
      <patternFill patternType="solid">
        <fgColor rgb="FFF7F7F8"/>
      </patternFill>
    </fill>
    <fill>
      <patternFill patternType="solid">
        <fgColor rgb="FFFAFAFA"/>
      </patternFill>
    </fill>
    <fill>
      <patternFill patternType="solid">
        <fgColor rgb="FF1D1F48"/>
        <bgColor indexed="64"/>
      </patternFill>
    </fill>
    <fill>
      <patternFill patternType="solid">
        <fgColor rgb="FFC0E6F5"/>
        <bgColor rgb="FF000000"/>
      </patternFill>
    </fill>
    <fill>
      <patternFill patternType="solid">
        <fgColor rgb="FF1D1F48"/>
        <bgColor rgb="FF000000"/>
      </patternFill>
    </fill>
    <fill>
      <patternFill patternType="solid">
        <fgColor theme="0"/>
        <bgColor indexed="64"/>
      </patternFill>
    </fill>
    <fill>
      <patternFill patternType="solid">
        <fgColor theme="1"/>
        <bgColor indexed="64"/>
      </patternFill>
    </fill>
  </fills>
  <borders count="88">
    <border>
      <left/>
      <right/>
      <top/>
      <bottom/>
      <diagonal/>
    </border>
    <border>
      <left/>
      <right/>
      <top/>
      <bottom/>
      <diagonal/>
    </border>
    <border>
      <left/>
      <right/>
      <top/>
      <bottom style="thin">
        <color rgb="FFE0E0E0"/>
      </bottom>
      <diagonal/>
    </border>
    <border>
      <left style="thin">
        <color rgb="FF1D1F48"/>
      </left>
      <right style="thin">
        <color rgb="FF1D1F48"/>
      </right>
      <top style="thin">
        <color rgb="FF1D1F48"/>
      </top>
      <bottom style="thin">
        <color rgb="FF1D1F48"/>
      </bottom>
      <diagonal/>
    </border>
    <border>
      <left/>
      <right/>
      <top style="thin">
        <color rgb="FF1D1F48"/>
      </top>
      <bottom style="thin">
        <color rgb="FF1D1F48"/>
      </bottom>
      <diagonal/>
    </border>
    <border>
      <left/>
      <right style="thin">
        <color rgb="FF1D1F48"/>
      </right>
      <top style="thin">
        <color rgb="FF1D1F48"/>
      </top>
      <bottom style="thin">
        <color rgb="FF1D1F48"/>
      </bottom>
      <diagonal/>
    </border>
    <border>
      <left style="thin">
        <color rgb="FFD7D7DA"/>
      </left>
      <right style="thin">
        <color rgb="FFD7D7DA"/>
      </right>
      <top style="thin">
        <color rgb="FFD7D7DA"/>
      </top>
      <bottom style="thin">
        <color rgb="FFD7D7DA"/>
      </bottom>
      <diagonal/>
    </border>
    <border>
      <left/>
      <right/>
      <top style="thin">
        <color rgb="FFD7D7DA"/>
      </top>
      <bottom style="thin">
        <color rgb="FFD7D7DA"/>
      </bottom>
      <diagonal/>
    </border>
    <border>
      <left/>
      <right style="thin">
        <color rgb="FFD7D7DA"/>
      </right>
      <top style="thin">
        <color rgb="FFD7D7DA"/>
      </top>
      <bottom style="thin">
        <color rgb="FFD7D7DA"/>
      </bottom>
      <diagonal/>
    </border>
    <border>
      <left/>
      <right/>
      <top/>
      <bottom/>
      <diagonal/>
    </border>
    <border>
      <left/>
      <right/>
      <top/>
      <bottom style="thin">
        <color rgb="FFD7D7DA"/>
      </bottom>
      <diagonal/>
    </border>
    <border>
      <left/>
      <right style="thin">
        <color rgb="FFD7D7DA"/>
      </right>
      <top/>
      <bottom style="thin">
        <color rgb="FFD7D7DA"/>
      </bottom>
      <diagonal/>
    </border>
    <border>
      <left style="thin">
        <color rgb="FFD7D7DA"/>
      </left>
      <right/>
      <top style="thin">
        <color rgb="FFD7D7DA"/>
      </top>
      <bottom style="thin">
        <color rgb="FFD7D7DA"/>
      </bottom>
      <diagonal/>
    </border>
    <border>
      <left style="thin">
        <color rgb="FF1D1F48"/>
      </left>
      <right/>
      <top style="thin">
        <color rgb="FF1D1F48"/>
      </top>
      <bottom style="thin">
        <color rgb="FF1D1F48"/>
      </bottom>
      <diagonal/>
    </border>
    <border>
      <left/>
      <right style="thin">
        <color rgb="FFD7D7DA"/>
      </right>
      <top/>
      <bottom/>
      <diagonal/>
    </border>
    <border>
      <left style="thin">
        <color rgb="FFD7D7DA"/>
      </left>
      <right style="thin">
        <color theme="0" tint="-0.499984740745262"/>
      </right>
      <top style="thin">
        <color rgb="FFD7D7DA"/>
      </top>
      <bottom style="thin">
        <color rgb="FFD7D7DA"/>
      </bottom>
      <diagonal/>
    </border>
    <border>
      <left/>
      <right/>
      <top/>
      <bottom style="thin">
        <color rgb="FF1D1F48"/>
      </bottom>
      <diagonal/>
    </border>
    <border>
      <left style="thin">
        <color rgb="FF1D1F48"/>
      </left>
      <right/>
      <top/>
      <bottom/>
      <diagonal/>
    </border>
    <border>
      <left style="thin">
        <color rgb="FF1D1F48"/>
      </left>
      <right/>
      <top/>
      <bottom style="thin">
        <color rgb="FF1D1F48"/>
      </bottom>
      <diagonal/>
    </border>
    <border>
      <left/>
      <right/>
      <top style="thin">
        <color theme="0" tint="-0.499984740745262"/>
      </top>
      <bottom/>
      <diagonal/>
    </border>
    <border>
      <left style="thin">
        <color theme="0" tint="-0.14999847407452621"/>
      </left>
      <right/>
      <top style="thin">
        <color theme="0" tint="-0.14999847407452621"/>
      </top>
      <bottom style="thin">
        <color rgb="FFE0E0E0"/>
      </bottom>
      <diagonal/>
    </border>
    <border>
      <left/>
      <right/>
      <top style="thin">
        <color theme="0" tint="-0.14999847407452621"/>
      </top>
      <bottom style="thin">
        <color rgb="FFE0E0E0"/>
      </bottom>
      <diagonal/>
    </border>
    <border>
      <left/>
      <right style="thin">
        <color theme="0" tint="-0.14999847407452621"/>
      </right>
      <top style="thin">
        <color theme="0" tint="-0.14999847407452621"/>
      </top>
      <bottom style="thin">
        <color rgb="FFE0E0E0"/>
      </bottom>
      <diagonal/>
    </border>
    <border>
      <left style="thin">
        <color theme="0" tint="-0.14999847407452621"/>
      </left>
      <right/>
      <top/>
      <bottom style="thin">
        <color rgb="FFE0E0E0"/>
      </bottom>
      <diagonal/>
    </border>
    <border>
      <left/>
      <right style="thin">
        <color theme="0" tint="-0.14999847407452621"/>
      </right>
      <top/>
      <bottom style="thin">
        <color rgb="FFE0E0E0"/>
      </bottom>
      <diagonal/>
    </border>
    <border>
      <left style="thin">
        <color theme="0" tint="-0.14999847407452621"/>
      </left>
      <right/>
      <top/>
      <bottom style="thin">
        <color theme="0" tint="-0.14999847407452621"/>
      </bottom>
      <diagonal/>
    </border>
    <border>
      <left/>
      <right/>
      <top/>
      <bottom style="thin">
        <color theme="0" tint="-0.14999847407452621"/>
      </bottom>
      <diagonal/>
    </border>
    <border>
      <left/>
      <right style="thin">
        <color theme="0" tint="-0.14999847407452621"/>
      </right>
      <top/>
      <bottom style="thin">
        <color theme="0" tint="-0.14999847407452621"/>
      </bottom>
      <diagonal/>
    </border>
    <border>
      <left/>
      <right style="thin">
        <color theme="0" tint="-0.14999847407452621"/>
      </right>
      <top style="thin">
        <color rgb="FFD7D7DA"/>
      </top>
      <bottom style="thin">
        <color rgb="FFD7D7DA"/>
      </bottom>
      <diagonal/>
    </border>
    <border>
      <left/>
      <right style="thin">
        <color theme="0" tint="-0.14999847407452621"/>
      </right>
      <top/>
      <bottom style="thin">
        <color rgb="FFD7D7DA"/>
      </bottom>
      <diagonal/>
    </border>
    <border>
      <left/>
      <right style="thin">
        <color theme="0" tint="-0.14999847407452621"/>
      </right>
      <top/>
      <bottom/>
      <diagonal/>
    </border>
    <border>
      <left/>
      <right style="thin">
        <color theme="0" tint="-0.14999847407452621"/>
      </right>
      <top style="thin">
        <color rgb="FF1D1F48"/>
      </top>
      <bottom/>
      <diagonal/>
    </border>
    <border>
      <left style="thin">
        <color theme="0" tint="-0.14999847407452621"/>
      </left>
      <right/>
      <top style="thin">
        <color theme="0" tint="-0.14999847407452621"/>
      </top>
      <bottom style="thin">
        <color theme="0" tint="-0.14999847407452621"/>
      </bottom>
      <diagonal/>
    </border>
    <border>
      <left/>
      <right/>
      <top style="thin">
        <color theme="0" tint="-0.14999847407452621"/>
      </top>
      <bottom style="thin">
        <color theme="0" tint="-0.14999847407452621"/>
      </bottom>
      <diagonal/>
    </border>
    <border>
      <left/>
      <right style="thin">
        <color theme="0" tint="-0.14999847407452621"/>
      </right>
      <top style="thin">
        <color theme="0" tint="-0.14999847407452621"/>
      </top>
      <bottom style="thin">
        <color theme="0" tint="-0.14999847407452621"/>
      </bottom>
      <diagonal/>
    </border>
    <border>
      <left/>
      <right/>
      <top style="thin">
        <color rgb="FF1D1F48"/>
      </top>
      <bottom/>
      <diagonal/>
    </border>
    <border>
      <left style="thin">
        <color rgb="FFD7D7DA"/>
      </left>
      <right style="thin">
        <color rgb="FFD7D7DA"/>
      </right>
      <top style="thin">
        <color rgb="FFD7D7DA"/>
      </top>
      <bottom style="thin">
        <color theme="0" tint="-0.14999847407452621"/>
      </bottom>
      <diagonal/>
    </border>
    <border>
      <left style="thin">
        <color rgb="FF1D1F48"/>
      </left>
      <right/>
      <top style="thin">
        <color rgb="FF1D1F48"/>
      </top>
      <bottom/>
      <diagonal/>
    </border>
    <border>
      <left style="thin">
        <color theme="0" tint="-0.14999847407452621"/>
      </left>
      <right/>
      <top style="thin">
        <color theme="0" tint="-0.14999847407452621"/>
      </top>
      <bottom/>
      <diagonal/>
    </border>
    <border>
      <left/>
      <right/>
      <top style="thin">
        <color theme="0" tint="-0.14999847407452621"/>
      </top>
      <bottom/>
      <diagonal/>
    </border>
    <border>
      <left style="thin">
        <color rgb="FF1D1F48"/>
      </left>
      <right style="thin">
        <color rgb="FF1D1F48"/>
      </right>
      <top/>
      <bottom/>
      <diagonal/>
    </border>
    <border>
      <left style="thin">
        <color rgb="FF1D1F48"/>
      </left>
      <right style="thin">
        <color rgb="FF1D1F48"/>
      </right>
      <top style="thin">
        <color rgb="FF1D1F48"/>
      </top>
      <bottom/>
      <diagonal/>
    </border>
    <border>
      <left/>
      <right/>
      <top style="thin">
        <color rgb="FFD7D7DA"/>
      </top>
      <bottom/>
      <diagonal/>
    </border>
    <border>
      <left/>
      <right style="thin">
        <color theme="0" tint="-0.14999847407452621"/>
      </right>
      <top style="thin">
        <color theme="0" tint="-0.14999847407452621"/>
      </top>
      <bottom style="thin">
        <color rgb="FF1D1F48"/>
      </bottom>
      <diagonal/>
    </border>
    <border>
      <left/>
      <right/>
      <top style="thin">
        <color theme="0" tint="-0.14999847407452621"/>
      </top>
      <bottom style="thin">
        <color rgb="FF1D1F48"/>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style="thin">
        <color theme="0" tint="-0.14999847407452621"/>
      </left>
      <right style="thin">
        <color rgb="FFD7D7DA"/>
      </right>
      <top style="thin">
        <color theme="0" tint="-0.14999847407452621"/>
      </top>
      <bottom style="thin">
        <color theme="0" tint="-0.14999847407452621"/>
      </bottom>
      <diagonal/>
    </border>
    <border>
      <left/>
      <right style="thin">
        <color rgb="FF1D1F48"/>
      </right>
      <top style="thin">
        <color rgb="FF1D1F48"/>
      </top>
      <bottom/>
      <diagonal/>
    </border>
    <border>
      <left style="thin">
        <color rgb="FFD7D7DA"/>
      </left>
      <right style="thin">
        <color rgb="FFD7D7DA"/>
      </right>
      <top style="thin">
        <color rgb="FFD7D7DA"/>
      </top>
      <bottom/>
      <diagonal/>
    </border>
    <border>
      <left/>
      <right/>
      <top style="thin">
        <color indexed="64"/>
      </top>
      <bottom style="thin">
        <color indexed="64"/>
      </bottom>
      <diagonal/>
    </border>
    <border>
      <left style="thin">
        <color theme="0" tint="-0.14999847407452621"/>
      </left>
      <right/>
      <top/>
      <bottom/>
      <diagonal/>
    </border>
    <border>
      <left style="thin">
        <color theme="0" tint="-0.249977111117893"/>
      </left>
      <right style="thin">
        <color rgb="FFD7D7DA"/>
      </right>
      <top style="thin">
        <color theme="0" tint="-0.249977111117893"/>
      </top>
      <bottom/>
      <diagonal/>
    </border>
    <border>
      <left style="thin">
        <color rgb="FFD7D7DA"/>
      </left>
      <right style="thin">
        <color rgb="FFD7D7DA"/>
      </right>
      <top style="thin">
        <color theme="0" tint="-0.249977111117893"/>
      </top>
      <bottom style="thin">
        <color rgb="FFD7D7DA"/>
      </bottom>
      <diagonal/>
    </border>
    <border>
      <left style="thin">
        <color theme="0" tint="-0.249977111117893"/>
      </left>
      <right style="thin">
        <color rgb="FFD7D7DA"/>
      </right>
      <top/>
      <bottom/>
      <diagonal/>
    </border>
    <border>
      <left style="thin">
        <color theme="0" tint="-0.249977111117893"/>
      </left>
      <right style="thin">
        <color rgb="FFD7D7DA"/>
      </right>
      <top/>
      <bottom style="thin">
        <color theme="0" tint="-0.249977111117893"/>
      </bottom>
      <diagonal/>
    </border>
    <border>
      <left style="thin">
        <color rgb="FFD7D7DA"/>
      </left>
      <right style="thin">
        <color rgb="FFD7D7DA"/>
      </right>
      <top style="thin">
        <color rgb="FFD7D7DA"/>
      </top>
      <bottom style="thin">
        <color theme="0" tint="-0.249977111117893"/>
      </bottom>
      <diagonal/>
    </border>
    <border>
      <left style="thin">
        <color rgb="FF1D1F48"/>
      </left>
      <right style="thin">
        <color rgb="FF1D1F48"/>
      </right>
      <top/>
      <bottom style="thin">
        <color rgb="FF1D1F48"/>
      </bottom>
      <diagonal/>
    </border>
    <border>
      <left style="thin">
        <color rgb="FFADADAD"/>
      </left>
      <right style="thin">
        <color rgb="FFADADAD"/>
      </right>
      <top style="thin">
        <color rgb="FFADADAD"/>
      </top>
      <bottom style="thin">
        <color rgb="FFADADAD"/>
      </bottom>
      <diagonal/>
    </border>
    <border>
      <left style="thin">
        <color rgb="FF000000"/>
      </left>
      <right style="thin">
        <color rgb="FF000000"/>
      </right>
      <top/>
      <bottom style="thin">
        <color rgb="FF000000"/>
      </bottom>
      <diagonal/>
    </border>
    <border>
      <left style="thin">
        <color theme="0" tint="-0.14999847407452621"/>
      </left>
      <right/>
      <top/>
      <bottom style="thin">
        <color rgb="FF1D1F48"/>
      </bottom>
      <diagonal/>
    </border>
    <border>
      <left/>
      <right style="thin">
        <color rgb="FF000000"/>
      </right>
      <top/>
      <bottom style="thin">
        <color rgb="FF000000"/>
      </bottom>
      <diagonal/>
    </border>
    <border>
      <left style="thin">
        <color rgb="FF000000"/>
      </left>
      <right/>
      <top style="thin">
        <color rgb="FF000000"/>
      </top>
      <bottom/>
      <diagonal/>
    </border>
    <border>
      <left style="thin">
        <color rgb="FF000000"/>
      </left>
      <right/>
      <top/>
      <bottom/>
      <diagonal/>
    </border>
    <border>
      <left/>
      <right/>
      <top style="thin">
        <color rgb="FF000000"/>
      </top>
      <bottom/>
      <diagonal/>
    </border>
    <border>
      <left/>
      <right style="thin">
        <color rgb="FF000000"/>
      </right>
      <top style="thin">
        <color rgb="FF000000"/>
      </top>
      <bottom/>
      <diagonal/>
    </border>
    <border>
      <left/>
      <right style="thin">
        <color rgb="FF000000"/>
      </right>
      <top/>
      <bottom/>
      <diagonal/>
    </border>
    <border>
      <left style="thin">
        <color rgb="FF000000"/>
      </left>
      <right style="medium">
        <color rgb="FFFFFFFF"/>
      </right>
      <top/>
      <bottom style="medium">
        <color rgb="FFD9D9D9"/>
      </bottom>
      <diagonal/>
    </border>
    <border>
      <left style="thin">
        <color rgb="FF000000"/>
      </left>
      <right style="medium">
        <color rgb="FFFFFFFF"/>
      </right>
      <top/>
      <bottom/>
      <diagonal/>
    </border>
    <border>
      <left style="medium">
        <color rgb="FFFFFFFF"/>
      </left>
      <right style="medium">
        <color rgb="FFFFFFFF"/>
      </right>
      <top/>
      <bottom style="medium">
        <color rgb="FFD9D9D9"/>
      </bottom>
      <diagonal/>
    </border>
    <border>
      <left style="medium">
        <color rgb="FFFFFFFF"/>
      </left>
      <right style="medium">
        <color rgb="FFFFFFFF"/>
      </right>
      <top/>
      <bottom/>
      <diagonal/>
    </border>
    <border>
      <left style="medium">
        <color rgb="FFFFFFFF"/>
      </left>
      <right style="thin">
        <color rgb="FF000000"/>
      </right>
      <top/>
      <bottom style="medium">
        <color rgb="FFD9D9D9"/>
      </bottom>
      <diagonal/>
    </border>
    <border>
      <left style="medium">
        <color rgb="FFFFFFFF"/>
      </left>
      <right style="thin">
        <color rgb="FF000000"/>
      </right>
      <top/>
      <bottom/>
      <diagonal/>
    </border>
    <border>
      <left style="thin">
        <color rgb="FF000000"/>
      </left>
      <right/>
      <top/>
      <bottom style="thin">
        <color rgb="FF000000"/>
      </bottom>
      <diagonal/>
    </border>
    <border>
      <left/>
      <right style="medium">
        <color rgb="FFFFFFFF"/>
      </right>
      <top/>
      <bottom style="medium">
        <color rgb="FFD9D9D9"/>
      </bottom>
      <diagonal/>
    </border>
    <border>
      <left/>
      <right style="medium">
        <color rgb="FFFFFFFF"/>
      </right>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D7D7DA"/>
      </left>
      <right/>
      <top style="thin">
        <color theme="0" tint="-0.249977111117893"/>
      </top>
      <bottom/>
      <diagonal/>
    </border>
    <border>
      <left/>
      <right/>
      <top style="thin">
        <color theme="0" tint="-0.249977111117893"/>
      </top>
      <bottom/>
      <diagonal/>
    </border>
    <border>
      <left/>
      <right style="thin">
        <color theme="0" tint="-0.249977111117893"/>
      </right>
      <top style="thin">
        <color theme="0" tint="-0.249977111117893"/>
      </top>
      <bottom/>
      <diagonal/>
    </border>
    <border>
      <left style="thin">
        <color rgb="FFD7D7DA"/>
      </left>
      <right/>
      <top/>
      <bottom/>
      <diagonal/>
    </border>
    <border>
      <left/>
      <right style="thin">
        <color theme="0" tint="-0.249977111117893"/>
      </right>
      <top/>
      <bottom/>
      <diagonal/>
    </border>
    <border>
      <left style="thin">
        <color rgb="FFD7D7DA"/>
      </left>
      <right/>
      <top/>
      <bottom style="thin">
        <color theme="0" tint="-0.249977111117893"/>
      </bottom>
      <diagonal/>
    </border>
    <border>
      <left/>
      <right/>
      <top/>
      <bottom style="thin">
        <color theme="0" tint="-0.249977111117893"/>
      </bottom>
      <diagonal/>
    </border>
    <border>
      <left/>
      <right style="thin">
        <color theme="0" tint="-0.249977111117893"/>
      </right>
      <top/>
      <bottom style="thin">
        <color theme="0" tint="-0.249977111117893"/>
      </bottom>
      <diagonal/>
    </border>
    <border>
      <left style="thin">
        <color rgb="FFD7D7DA"/>
      </left>
      <right style="thin">
        <color rgb="FFD7D7DA"/>
      </right>
      <top/>
      <bottom/>
      <diagonal/>
    </border>
    <border>
      <left style="thin">
        <color rgb="FFD7D7DA"/>
      </left>
      <right style="thin">
        <color rgb="FFD7D7DA"/>
      </right>
      <top/>
      <bottom style="thin">
        <color rgb="FFD7D7DA"/>
      </bottom>
      <diagonal/>
    </border>
    <border>
      <left style="thin">
        <color rgb="FFD7D7DA"/>
      </left>
      <right style="thin">
        <color rgb="FFD7D7DA"/>
      </right>
      <top style="thin">
        <color rgb="FF1D1F48"/>
      </top>
      <bottom/>
      <diagonal/>
    </border>
  </borders>
  <cellStyleXfs count="2">
    <xf numFmtId="0" fontId="0" fillId="0" borderId="1"/>
    <xf numFmtId="44" fontId="16" fillId="0" borderId="0" applyFont="0" applyFill="0" applyBorder="0" applyAlignment="0" applyProtection="0"/>
  </cellStyleXfs>
  <cellXfs count="316">
    <xf numFmtId="0" fontId="0" fillId="0" borderId="0" xfId="0" applyBorder="1"/>
    <xf numFmtId="0" fontId="1" fillId="0" borderId="0" xfId="0" applyFont="1" applyBorder="1"/>
    <xf numFmtId="0" fontId="2" fillId="2" borderId="1" xfId="0" applyFont="1" applyFill="1"/>
    <xf numFmtId="0" fontId="2" fillId="5" borderId="6" xfId="0" applyFont="1" applyFill="1" applyBorder="1"/>
    <xf numFmtId="0" fontId="8" fillId="4" borderId="6" xfId="0" applyFont="1" applyFill="1" applyBorder="1" applyAlignment="1">
      <alignment vertical="top" wrapText="1"/>
    </xf>
    <xf numFmtId="0" fontId="12" fillId="6" borderId="6" xfId="0" applyFont="1" applyFill="1" applyBorder="1" applyAlignment="1">
      <alignment vertical="top" wrapText="1"/>
    </xf>
    <xf numFmtId="0" fontId="14" fillId="7" borderId="6" xfId="0" applyFont="1" applyFill="1" applyBorder="1" applyAlignment="1">
      <alignment vertical="top" wrapText="1"/>
    </xf>
    <xf numFmtId="0" fontId="0" fillId="0" borderId="9" xfId="0" applyBorder="1"/>
    <xf numFmtId="0" fontId="8" fillId="7" borderId="6" xfId="0" applyFont="1" applyFill="1" applyBorder="1" applyAlignment="1">
      <alignment vertical="top" wrapText="1"/>
    </xf>
    <xf numFmtId="0" fontId="6" fillId="3" borderId="3" xfId="0" applyFont="1" applyFill="1" applyBorder="1" applyAlignment="1">
      <alignment horizontal="center" vertical="center" wrapText="1"/>
    </xf>
    <xf numFmtId="0" fontId="6" fillId="3" borderId="3" xfId="0" applyFont="1" applyFill="1" applyBorder="1" applyAlignment="1">
      <alignment vertical="center" wrapText="1"/>
    </xf>
    <xf numFmtId="0" fontId="2" fillId="4" borderId="1" xfId="0" applyFont="1" applyFill="1"/>
    <xf numFmtId="0" fontId="7" fillId="4" borderId="2" xfId="0" applyFont="1" applyFill="1" applyBorder="1" applyAlignment="1">
      <alignment vertical="center" wrapText="1"/>
    </xf>
    <xf numFmtId="0" fontId="2" fillId="5" borderId="1" xfId="0" applyFont="1" applyFill="1"/>
    <xf numFmtId="0" fontId="10" fillId="5" borderId="6" xfId="0" applyFont="1" applyFill="1" applyBorder="1" applyAlignment="1">
      <alignment vertical="top" wrapText="1"/>
    </xf>
    <xf numFmtId="0" fontId="8" fillId="6" borderId="6" xfId="0" applyFont="1" applyFill="1" applyBorder="1" applyAlignment="1">
      <alignment vertical="top" wrapText="1"/>
    </xf>
    <xf numFmtId="0" fontId="3" fillId="5" borderId="6" xfId="0" applyFont="1" applyFill="1" applyBorder="1" applyAlignment="1">
      <alignment horizontal="center" vertical="center" wrapText="1"/>
    </xf>
    <xf numFmtId="0" fontId="2" fillId="4" borderId="9" xfId="0" applyFont="1" applyFill="1" applyBorder="1"/>
    <xf numFmtId="0" fontId="0" fillId="4" borderId="9" xfId="0" applyFill="1" applyBorder="1"/>
    <xf numFmtId="0" fontId="10" fillId="6" borderId="6" xfId="0" applyFont="1" applyFill="1" applyBorder="1" applyAlignment="1">
      <alignment vertical="top" wrapText="1"/>
    </xf>
    <xf numFmtId="0" fontId="8" fillId="0" borderId="6" xfId="0" applyFont="1" applyBorder="1" applyAlignment="1">
      <alignment horizontal="center" vertical="center" wrapText="1"/>
    </xf>
    <xf numFmtId="0" fontId="11" fillId="6" borderId="6" xfId="0" applyFont="1" applyFill="1" applyBorder="1" applyAlignment="1">
      <alignment vertical="top" wrapText="1"/>
    </xf>
    <xf numFmtId="0" fontId="3" fillId="5" borderId="6" xfId="0" applyFont="1" applyFill="1" applyBorder="1" applyAlignment="1">
      <alignment vertical="center" wrapText="1"/>
    </xf>
    <xf numFmtId="0" fontId="9" fillId="4" borderId="9" xfId="0" applyFont="1" applyFill="1" applyBorder="1" applyAlignment="1">
      <alignment vertical="top" wrapText="1"/>
    </xf>
    <xf numFmtId="0" fontId="5" fillId="6" borderId="6" xfId="0" applyFont="1" applyFill="1" applyBorder="1" applyAlignment="1">
      <alignment vertical="top" wrapText="1"/>
    </xf>
    <xf numFmtId="0" fontId="8" fillId="7" borderId="9" xfId="0" applyFont="1" applyFill="1" applyBorder="1" applyAlignment="1">
      <alignment vertical="top" wrapText="1"/>
    </xf>
    <xf numFmtId="0" fontId="8" fillId="7" borderId="12" xfId="0" applyFont="1" applyFill="1" applyBorder="1" applyAlignment="1">
      <alignment vertical="top" wrapText="1"/>
    </xf>
    <xf numFmtId="0" fontId="6" fillId="3" borderId="13" xfId="0" applyFont="1" applyFill="1" applyBorder="1" applyAlignment="1">
      <alignment horizontal="center" vertical="center" wrapText="1"/>
    </xf>
    <xf numFmtId="0" fontId="1" fillId="0" borderId="9" xfId="0" applyFont="1" applyBorder="1"/>
    <xf numFmtId="0" fontId="8" fillId="0" borderId="6" xfId="0" applyFont="1" applyBorder="1" applyAlignment="1">
      <alignment vertical="top" wrapText="1"/>
    </xf>
    <xf numFmtId="0" fontId="5" fillId="0" borderId="6" xfId="0" applyFont="1" applyBorder="1" applyAlignment="1">
      <alignment horizontal="center" vertical="center" wrapText="1"/>
    </xf>
    <xf numFmtId="0" fontId="8" fillId="7" borderId="7" xfId="0" applyFont="1" applyFill="1" applyBorder="1" applyAlignment="1">
      <alignment vertical="top" wrapText="1"/>
    </xf>
    <xf numFmtId="0" fontId="8" fillId="0" borderId="9" xfId="0" applyFont="1" applyBorder="1" applyAlignment="1">
      <alignment horizontal="center" vertical="center" wrapText="1"/>
    </xf>
    <xf numFmtId="0" fontId="10" fillId="6" borderId="9" xfId="0" applyFont="1" applyFill="1" applyBorder="1" applyAlignment="1">
      <alignment vertical="top" wrapText="1"/>
    </xf>
    <xf numFmtId="0" fontId="8" fillId="0" borderId="9" xfId="0" applyFont="1" applyBorder="1" applyAlignment="1">
      <alignment vertical="top" wrapText="1"/>
    </xf>
    <xf numFmtId="0" fontId="5" fillId="0" borderId="9" xfId="0" applyFont="1" applyBorder="1" applyAlignment="1">
      <alignment horizontal="center" vertical="center" wrapText="1"/>
    </xf>
    <xf numFmtId="0" fontId="6" fillId="3" borderId="3" xfId="0" applyFont="1" applyFill="1" applyBorder="1" applyAlignment="1">
      <alignment horizontal="center" vertical="center"/>
    </xf>
    <xf numFmtId="44" fontId="8" fillId="7" borderId="6" xfId="1" applyFont="1" applyFill="1" applyBorder="1" applyAlignment="1">
      <alignment vertical="top" wrapText="1"/>
    </xf>
    <xf numFmtId="0" fontId="8" fillId="7" borderId="15" xfId="0" applyFont="1" applyFill="1" applyBorder="1" applyAlignment="1">
      <alignment vertical="top" wrapText="1"/>
    </xf>
    <xf numFmtId="0" fontId="0" fillId="0" borderId="14" xfId="0" applyBorder="1"/>
    <xf numFmtId="0" fontId="0" fillId="0" borderId="19" xfId="0" applyBorder="1"/>
    <xf numFmtId="0" fontId="3" fillId="5" borderId="20" xfId="0" applyFont="1" applyFill="1" applyBorder="1" applyAlignment="1">
      <alignment horizontal="center" vertical="center" wrapText="1"/>
    </xf>
    <xf numFmtId="0" fontId="7" fillId="4" borderId="21" xfId="0" applyFont="1" applyFill="1" applyBorder="1" applyAlignment="1">
      <alignment vertical="center" wrapText="1"/>
    </xf>
    <xf numFmtId="0" fontId="8" fillId="4" borderId="22" xfId="0" applyFont="1" applyFill="1" applyBorder="1" applyAlignment="1">
      <alignment vertical="center" wrapText="1"/>
    </xf>
    <xf numFmtId="0" fontId="3" fillId="5" borderId="23" xfId="0" applyFont="1" applyFill="1" applyBorder="1" applyAlignment="1">
      <alignment horizontal="center" vertical="center" wrapText="1"/>
    </xf>
    <xf numFmtId="0" fontId="8" fillId="4" borderId="24" xfId="0" applyFont="1" applyFill="1" applyBorder="1" applyAlignment="1">
      <alignment vertical="center" wrapText="1"/>
    </xf>
    <xf numFmtId="0" fontId="3" fillId="5" borderId="25" xfId="0" applyFont="1" applyFill="1" applyBorder="1" applyAlignment="1">
      <alignment horizontal="center" vertical="center" wrapText="1"/>
    </xf>
    <xf numFmtId="0" fontId="7" fillId="4" borderId="26" xfId="0" applyFont="1" applyFill="1" applyBorder="1" applyAlignment="1">
      <alignment vertical="center" wrapText="1"/>
    </xf>
    <xf numFmtId="0" fontId="8" fillId="4" borderId="27" xfId="0" applyFont="1" applyFill="1" applyBorder="1" applyAlignment="1">
      <alignment vertical="center" wrapText="1"/>
    </xf>
    <xf numFmtId="0" fontId="2" fillId="4" borderId="30" xfId="0" applyFont="1" applyFill="1" applyBorder="1"/>
    <xf numFmtId="0" fontId="2" fillId="4" borderId="31" xfId="0" applyFont="1" applyFill="1" applyBorder="1"/>
    <xf numFmtId="0" fontId="2" fillId="4" borderId="35" xfId="0" applyFont="1" applyFill="1" applyBorder="1"/>
    <xf numFmtId="0" fontId="10" fillId="5" borderId="36" xfId="0" applyFont="1" applyFill="1" applyBorder="1" applyAlignment="1">
      <alignment vertical="top" wrapText="1"/>
    </xf>
    <xf numFmtId="0" fontId="8" fillId="4" borderId="36" xfId="0" applyFont="1" applyFill="1" applyBorder="1" applyAlignment="1">
      <alignment vertical="top" wrapText="1"/>
    </xf>
    <xf numFmtId="0" fontId="11" fillId="6" borderId="36" xfId="0" applyFont="1" applyFill="1" applyBorder="1" applyAlignment="1">
      <alignment vertical="top" wrapText="1"/>
    </xf>
    <xf numFmtId="0" fontId="8" fillId="7" borderId="36" xfId="0" applyFont="1" applyFill="1" applyBorder="1" applyAlignment="1">
      <alignment vertical="top" wrapText="1"/>
    </xf>
    <xf numFmtId="0" fontId="2" fillId="4" borderId="38" xfId="0" applyFont="1" applyFill="1" applyBorder="1"/>
    <xf numFmtId="0" fontId="2" fillId="4" borderId="39" xfId="0" applyFont="1" applyFill="1" applyBorder="1"/>
    <xf numFmtId="0" fontId="17" fillId="0" borderId="9" xfId="0" applyFont="1" applyBorder="1"/>
    <xf numFmtId="0" fontId="18" fillId="4" borderId="1" xfId="0" applyFont="1" applyFill="1"/>
    <xf numFmtId="0" fontId="19" fillId="3" borderId="3" xfId="0" applyFont="1" applyFill="1" applyBorder="1" applyAlignment="1">
      <alignment horizontal="center" vertical="center" wrapText="1"/>
    </xf>
    <xf numFmtId="0" fontId="22" fillId="7" borderId="6" xfId="0" applyFont="1" applyFill="1" applyBorder="1" applyAlignment="1">
      <alignment vertical="top" wrapText="1"/>
    </xf>
    <xf numFmtId="0" fontId="20" fillId="4" borderId="39" xfId="0" applyFont="1" applyFill="1" applyBorder="1"/>
    <xf numFmtId="0" fontId="20" fillId="4" borderId="38" xfId="0" applyFont="1" applyFill="1" applyBorder="1"/>
    <xf numFmtId="0" fontId="20" fillId="4" borderId="9" xfId="0" applyFont="1" applyFill="1" applyBorder="1"/>
    <xf numFmtId="0" fontId="8" fillId="7" borderId="48" xfId="0" applyFont="1" applyFill="1" applyBorder="1" applyAlignment="1">
      <alignment vertical="top" wrapText="1"/>
    </xf>
    <xf numFmtId="0" fontId="24" fillId="6" borderId="6" xfId="0" applyFont="1" applyFill="1" applyBorder="1" applyAlignment="1">
      <alignment vertical="top" wrapText="1"/>
    </xf>
    <xf numFmtId="0" fontId="2" fillId="0" borderId="0" xfId="0" applyFont="1" applyBorder="1"/>
    <xf numFmtId="0" fontId="2" fillId="0" borderId="9" xfId="0" applyFont="1" applyBorder="1"/>
    <xf numFmtId="0" fontId="2" fillId="0" borderId="30" xfId="0" applyFont="1" applyBorder="1"/>
    <xf numFmtId="0" fontId="25" fillId="0" borderId="9" xfId="0" applyFont="1" applyBorder="1"/>
    <xf numFmtId="0" fontId="26" fillId="0" borderId="9" xfId="0" applyFont="1" applyBorder="1"/>
    <xf numFmtId="0" fontId="28" fillId="0" borderId="49" xfId="0" applyFont="1" applyBorder="1" applyAlignment="1">
      <alignment vertical="center" wrapText="1"/>
    </xf>
    <xf numFmtId="8" fontId="27" fillId="0" borderId="49" xfId="0" applyNumberFormat="1" applyFont="1" applyBorder="1" applyAlignment="1">
      <alignment vertical="center" wrapText="1"/>
    </xf>
    <xf numFmtId="0" fontId="29" fillId="3" borderId="3" xfId="0" applyFont="1" applyFill="1" applyBorder="1" applyAlignment="1">
      <alignment horizontal="center" vertical="center" wrapText="1"/>
    </xf>
    <xf numFmtId="44" fontId="8" fillId="7" borderId="9" xfId="1" applyFont="1" applyFill="1" applyBorder="1" applyAlignment="1">
      <alignment vertical="top" wrapText="1"/>
    </xf>
    <xf numFmtId="0" fontId="30" fillId="5" borderId="6" xfId="0" applyFont="1" applyFill="1" applyBorder="1" applyAlignment="1">
      <alignment vertical="center" wrapText="1"/>
    </xf>
    <xf numFmtId="0" fontId="3" fillId="5" borderId="48" xfId="0" applyFont="1" applyFill="1" applyBorder="1" applyAlignment="1">
      <alignment horizontal="center" vertical="center" wrapText="1"/>
    </xf>
    <xf numFmtId="0" fontId="30" fillId="5" borderId="52" xfId="0" applyFont="1" applyFill="1" applyBorder="1" applyAlignment="1">
      <alignment vertical="center" wrapText="1"/>
    </xf>
    <xf numFmtId="0" fontId="30" fillId="5" borderId="55" xfId="0" applyFont="1" applyFill="1" applyBorder="1" applyAlignment="1">
      <alignment vertical="center" wrapText="1"/>
    </xf>
    <xf numFmtId="0" fontId="6" fillId="3" borderId="56" xfId="0" applyFont="1" applyFill="1" applyBorder="1" applyAlignment="1">
      <alignment horizontal="center" vertical="center" wrapText="1"/>
    </xf>
    <xf numFmtId="0" fontId="6" fillId="0" borderId="9" xfId="0" applyFont="1" applyBorder="1" applyAlignment="1">
      <alignment horizontal="center" vertical="center" wrapText="1"/>
    </xf>
    <xf numFmtId="0" fontId="32" fillId="4" borderId="9" xfId="0" applyFont="1" applyFill="1" applyBorder="1"/>
    <xf numFmtId="0" fontId="32" fillId="4" borderId="31" xfId="0" applyFont="1" applyFill="1" applyBorder="1"/>
    <xf numFmtId="0" fontId="3" fillId="0" borderId="9" xfId="0" applyFont="1" applyBorder="1" applyAlignment="1">
      <alignment horizontal="center" vertical="center" wrapText="1"/>
    </xf>
    <xf numFmtId="0" fontId="30" fillId="0" borderId="9" xfId="0" applyFont="1" applyBorder="1" applyAlignment="1">
      <alignment vertical="center" wrapText="1"/>
    </xf>
    <xf numFmtId="0" fontId="32" fillId="0" borderId="30" xfId="0" applyFont="1" applyBorder="1"/>
    <xf numFmtId="49" fontId="3" fillId="5" borderId="25" xfId="0" applyNumberFormat="1" applyFont="1" applyFill="1" applyBorder="1" applyAlignment="1">
      <alignment horizontal="center" vertical="center" wrapText="1"/>
    </xf>
    <xf numFmtId="0" fontId="12" fillId="6" borderId="9" xfId="0" applyFont="1" applyFill="1" applyBorder="1" applyAlignment="1">
      <alignment vertical="top" wrapText="1"/>
    </xf>
    <xf numFmtId="0" fontId="6" fillId="4" borderId="9" xfId="0" applyFont="1" applyFill="1" applyBorder="1" applyAlignment="1">
      <alignment horizontal="center" vertical="center" wrapText="1"/>
    </xf>
    <xf numFmtId="0" fontId="8" fillId="4" borderId="9" xfId="0" applyFont="1" applyFill="1" applyBorder="1" applyAlignment="1">
      <alignment vertical="top" wrapText="1"/>
    </xf>
    <xf numFmtId="0" fontId="31" fillId="4" borderId="9" xfId="0" applyFont="1" applyFill="1" applyBorder="1" applyAlignment="1">
      <alignment horizontal="center" vertical="center" wrapText="1"/>
    </xf>
    <xf numFmtId="0" fontId="3" fillId="4" borderId="9" xfId="0" applyFont="1" applyFill="1" applyBorder="1" applyAlignment="1">
      <alignment horizontal="center" vertical="center" wrapText="1"/>
    </xf>
    <xf numFmtId="0" fontId="6" fillId="8" borderId="9" xfId="0" applyFont="1" applyFill="1" applyBorder="1" applyAlignment="1">
      <alignment horizontal="center" vertical="center" wrapText="1"/>
    </xf>
    <xf numFmtId="0" fontId="27" fillId="0" borderId="9" xfId="0" applyFont="1" applyBorder="1" applyAlignment="1">
      <alignment vertical="center" wrapText="1"/>
    </xf>
    <xf numFmtId="8" fontId="27" fillId="0" borderId="9" xfId="0" applyNumberFormat="1" applyFont="1" applyBorder="1" applyAlignment="1">
      <alignment vertical="center" wrapText="1"/>
    </xf>
    <xf numFmtId="6" fontId="8" fillId="7" borderId="6" xfId="0" applyNumberFormat="1" applyFont="1" applyFill="1" applyBorder="1" applyAlignment="1">
      <alignment vertical="top" wrapText="1"/>
    </xf>
    <xf numFmtId="6" fontId="22" fillId="7" borderId="6" xfId="0" applyNumberFormat="1" applyFont="1" applyFill="1" applyBorder="1" applyAlignment="1">
      <alignment vertical="top" wrapText="1"/>
    </xf>
    <xf numFmtId="0" fontId="36" fillId="7" borderId="6" xfId="0" applyFont="1" applyFill="1" applyBorder="1" applyAlignment="1">
      <alignment vertical="top" wrapText="1"/>
    </xf>
    <xf numFmtId="0" fontId="19" fillId="3" borderId="17" xfId="0" applyFont="1" applyFill="1" applyBorder="1" applyAlignment="1">
      <alignment horizontal="left" vertical="center" wrapText="1"/>
    </xf>
    <xf numFmtId="0" fontId="19" fillId="3" borderId="9" xfId="0" applyFont="1" applyFill="1" applyBorder="1" applyAlignment="1">
      <alignment horizontal="left" vertical="center" wrapText="1"/>
    </xf>
    <xf numFmtId="9" fontId="22" fillId="7" borderId="6" xfId="0" applyNumberFormat="1" applyFont="1" applyFill="1" applyBorder="1" applyAlignment="1">
      <alignment vertical="top" wrapText="1"/>
    </xf>
    <xf numFmtId="9" fontId="8" fillId="7" borderId="6" xfId="0" applyNumberFormat="1" applyFont="1" applyFill="1" applyBorder="1" applyAlignment="1">
      <alignment vertical="top" wrapText="1"/>
    </xf>
    <xf numFmtId="0" fontId="21" fillId="4" borderId="59" xfId="0" applyFont="1" applyFill="1" applyBorder="1" applyAlignment="1">
      <alignment horizontal="left" vertical="top" wrapText="1"/>
    </xf>
    <xf numFmtId="0" fontId="21" fillId="4" borderId="16" xfId="0" applyFont="1" applyFill="1" applyBorder="1" applyAlignment="1">
      <alignment horizontal="left" vertical="top" wrapText="1"/>
    </xf>
    <xf numFmtId="0" fontId="39" fillId="0" borderId="9" xfId="0" applyFont="1" applyBorder="1"/>
    <xf numFmtId="0" fontId="40" fillId="0" borderId="9" xfId="0" applyFont="1" applyBorder="1"/>
    <xf numFmtId="0" fontId="8" fillId="4" borderId="12" xfId="0" applyFont="1" applyFill="1" applyBorder="1" applyAlignment="1">
      <alignment vertical="top" wrapText="1"/>
    </xf>
    <xf numFmtId="0" fontId="10" fillId="5" borderId="12" xfId="0" applyFont="1" applyFill="1" applyBorder="1" applyAlignment="1">
      <alignment vertical="top" wrapText="1"/>
    </xf>
    <xf numFmtId="0" fontId="10" fillId="5" borderId="48" xfId="0" applyFont="1" applyFill="1" applyBorder="1" applyAlignment="1">
      <alignment vertical="top" wrapText="1"/>
    </xf>
    <xf numFmtId="0" fontId="22" fillId="4" borderId="12" xfId="0" applyFont="1" applyFill="1" applyBorder="1" applyAlignment="1">
      <alignment vertical="top" wrapText="1"/>
    </xf>
    <xf numFmtId="0" fontId="22" fillId="7" borderId="6" xfId="0" applyFont="1" applyFill="1" applyBorder="1" applyAlignment="1">
      <alignment horizontal="center" vertical="top" wrapText="1"/>
    </xf>
    <xf numFmtId="0" fontId="21" fillId="4" borderId="9" xfId="0" applyFont="1" applyFill="1" applyBorder="1" applyAlignment="1">
      <alignment horizontal="left" vertical="top" wrapText="1"/>
    </xf>
    <xf numFmtId="0" fontId="8" fillId="0" borderId="6" xfId="0" applyFont="1" applyBorder="1" applyAlignment="1">
      <alignment horizontal="center" vertical="top" wrapText="1"/>
    </xf>
    <xf numFmtId="0" fontId="44" fillId="0" borderId="9" xfId="0" applyFont="1" applyBorder="1" applyAlignment="1">
      <alignment wrapText="1"/>
    </xf>
    <xf numFmtId="0" fontId="47" fillId="0" borderId="9" xfId="0" applyFont="1" applyBorder="1" applyAlignment="1">
      <alignment wrapText="1"/>
    </xf>
    <xf numFmtId="0" fontId="8" fillId="7" borderId="8" xfId="0" applyFont="1" applyFill="1" applyBorder="1" applyAlignment="1">
      <alignment vertical="top" wrapText="1"/>
    </xf>
    <xf numFmtId="0" fontId="0" fillId="0" borderId="9" xfId="0" applyBorder="1" applyAlignment="1">
      <alignment vertical="top" wrapText="1"/>
    </xf>
    <xf numFmtId="0" fontId="43" fillId="0" borderId="9" xfId="0" applyFont="1" applyBorder="1" applyAlignment="1">
      <alignment wrapText="1"/>
    </xf>
    <xf numFmtId="0" fontId="49" fillId="0" borderId="9" xfId="0" applyFont="1" applyBorder="1" applyAlignment="1">
      <alignment wrapText="1"/>
    </xf>
    <xf numFmtId="0" fontId="37" fillId="9" borderId="76" xfId="0" applyFont="1" applyFill="1" applyBorder="1"/>
    <xf numFmtId="0" fontId="38" fillId="0" borderId="76" xfId="0" applyFont="1" applyBorder="1"/>
    <xf numFmtId="0" fontId="8" fillId="7" borderId="6" xfId="0" applyFont="1" applyFill="1" applyBorder="1" applyAlignment="1">
      <alignment horizontal="center" vertical="top" wrapText="1"/>
    </xf>
    <xf numFmtId="0" fontId="6" fillId="10" borderId="3" xfId="0" applyFont="1" applyFill="1" applyBorder="1" applyAlignment="1">
      <alignment vertical="center" wrapText="1"/>
    </xf>
    <xf numFmtId="0" fontId="22" fillId="7" borderId="6" xfId="0" applyFont="1" applyFill="1" applyBorder="1" applyAlignment="1">
      <alignment horizontal="center" vertical="center" wrapText="1"/>
    </xf>
    <xf numFmtId="9" fontId="22" fillId="7" borderId="6" xfId="0" applyNumberFormat="1" applyFont="1" applyFill="1" applyBorder="1" applyAlignment="1">
      <alignment horizontal="center" vertical="center" wrapText="1"/>
    </xf>
    <xf numFmtId="0" fontId="0" fillId="0" borderId="9" xfId="0" applyBorder="1" applyAlignment="1">
      <alignment horizontal="center" vertical="center"/>
    </xf>
    <xf numFmtId="0" fontId="51" fillId="0" borderId="9" xfId="0" applyFont="1" applyBorder="1"/>
    <xf numFmtId="0" fontId="54" fillId="7" borderId="6" xfId="0" applyFont="1" applyFill="1" applyBorder="1" applyAlignment="1">
      <alignment vertical="top" wrapText="1"/>
    </xf>
    <xf numFmtId="164" fontId="8" fillId="7" borderId="6" xfId="0" applyNumberFormat="1" applyFont="1" applyFill="1" applyBorder="1" applyAlignment="1">
      <alignment vertical="top" wrapText="1"/>
    </xf>
    <xf numFmtId="0" fontId="53" fillId="0" borderId="9" xfId="0" applyFont="1" applyBorder="1"/>
    <xf numFmtId="9" fontId="27" fillId="0" borderId="49" xfId="0" applyNumberFormat="1" applyFont="1" applyBorder="1" applyAlignment="1">
      <alignment vertical="center" wrapText="1"/>
    </xf>
    <xf numFmtId="8" fontId="2" fillId="0" borderId="9" xfId="0" applyNumberFormat="1" applyFont="1" applyBorder="1"/>
    <xf numFmtId="9" fontId="58" fillId="6" borderId="6" xfId="0" applyNumberFormat="1" applyFont="1" applyFill="1" applyBorder="1" applyAlignment="1">
      <alignment vertical="top" wrapText="1"/>
    </xf>
    <xf numFmtId="9" fontId="56" fillId="6" borderId="6" xfId="0" applyNumberFormat="1" applyFont="1" applyFill="1" applyBorder="1" applyAlignment="1">
      <alignment vertical="top" wrapText="1"/>
    </xf>
    <xf numFmtId="9" fontId="56" fillId="6" borderId="6" xfId="0" applyNumberFormat="1" applyFont="1" applyFill="1" applyBorder="1" applyAlignment="1">
      <alignment horizontal="right" vertical="top" wrapText="1"/>
    </xf>
    <xf numFmtId="0" fontId="60" fillId="6" borderId="6" xfId="0" applyFont="1" applyFill="1" applyBorder="1" applyAlignment="1">
      <alignment vertical="top" wrapText="1"/>
    </xf>
    <xf numFmtId="164" fontId="22" fillId="7" borderId="6" xfId="0" applyNumberFormat="1" applyFont="1" applyFill="1" applyBorder="1" applyAlignment="1">
      <alignment vertical="top" wrapText="1"/>
    </xf>
    <xf numFmtId="0" fontId="23" fillId="11" borderId="9" xfId="0" applyFont="1" applyFill="1" applyBorder="1"/>
    <xf numFmtId="0" fontId="8" fillId="7" borderId="6" xfId="0" quotePrefix="1" applyFont="1" applyFill="1" applyBorder="1" applyAlignment="1">
      <alignment vertical="top" wrapText="1"/>
    </xf>
    <xf numFmtId="0" fontId="59" fillId="0" borderId="9" xfId="0" applyFont="1" applyBorder="1"/>
    <xf numFmtId="0" fontId="36" fillId="0" borderId="9" xfId="0" applyFont="1" applyBorder="1" applyAlignment="1">
      <alignment wrapText="1"/>
    </xf>
    <xf numFmtId="0" fontId="51" fillId="11" borderId="9" xfId="0" applyFont="1" applyFill="1" applyBorder="1"/>
    <xf numFmtId="8" fontId="20" fillId="0" borderId="9" xfId="0" applyNumberFormat="1" applyFont="1" applyBorder="1"/>
    <xf numFmtId="8" fontId="8" fillId="7" borderId="6" xfId="0" applyNumberFormat="1" applyFont="1" applyFill="1" applyBorder="1" applyAlignment="1">
      <alignment vertical="top" wrapText="1"/>
    </xf>
    <xf numFmtId="3" fontId="22" fillId="7" borderId="12" xfId="0" applyNumberFormat="1" applyFont="1" applyFill="1" applyBorder="1" applyAlignment="1">
      <alignment vertical="top" wrapText="1"/>
    </xf>
    <xf numFmtId="3" fontId="2" fillId="11" borderId="35" xfId="0" applyNumberFormat="1" applyFont="1" applyFill="1" applyBorder="1" applyAlignment="1">
      <alignment wrapText="1"/>
    </xf>
    <xf numFmtId="164" fontId="10" fillId="5" borderId="6" xfId="0" applyNumberFormat="1" applyFont="1" applyFill="1" applyBorder="1" applyAlignment="1">
      <alignment vertical="top" wrapText="1"/>
    </xf>
    <xf numFmtId="0" fontId="5" fillId="4" borderId="11" xfId="0" applyFont="1" applyFill="1" applyBorder="1" applyAlignment="1">
      <alignment vertical="center" wrapText="1"/>
    </xf>
    <xf numFmtId="0" fontId="0" fillId="0" borderId="10" xfId="0" applyBorder="1"/>
    <xf numFmtId="0" fontId="0" fillId="0" borderId="11" xfId="0" applyBorder="1"/>
    <xf numFmtId="0" fontId="13" fillId="4" borderId="11" xfId="0" applyFont="1" applyFill="1" applyBorder="1" applyAlignment="1">
      <alignment vertical="center" wrapText="1"/>
    </xf>
    <xf numFmtId="0" fontId="17" fillId="0" borderId="10" xfId="0" applyFont="1" applyBorder="1"/>
    <xf numFmtId="0" fontId="17" fillId="0" borderId="11" xfId="0" applyFont="1" applyBorder="1"/>
    <xf numFmtId="0" fontId="4" fillId="4" borderId="11" xfId="0" applyFont="1" applyFill="1" applyBorder="1" applyAlignment="1">
      <alignment vertical="center" wrapText="1"/>
    </xf>
    <xf numFmtId="0" fontId="9" fillId="4" borderId="11" xfId="0" applyFont="1" applyFill="1" applyBorder="1" applyAlignment="1">
      <alignment vertical="top" wrapText="1"/>
    </xf>
    <xf numFmtId="0" fontId="19" fillId="3" borderId="41" xfId="0" applyFont="1" applyFill="1" applyBorder="1" applyAlignment="1">
      <alignment vertical="center" wrapText="1"/>
    </xf>
    <xf numFmtId="0" fontId="0" fillId="0" borderId="35" xfId="0" applyBorder="1"/>
    <xf numFmtId="0" fontId="2" fillId="4" borderId="9" xfId="0" applyFont="1" applyFill="1" applyBorder="1"/>
    <xf numFmtId="0" fontId="0" fillId="0" borderId="9" xfId="0" applyBorder="1"/>
    <xf numFmtId="0" fontId="21" fillId="4" borderId="42" xfId="0" applyFont="1" applyFill="1" applyBorder="1" applyAlignment="1">
      <alignment vertical="top" wrapText="1"/>
    </xf>
    <xf numFmtId="0" fontId="9" fillId="4" borderId="6" xfId="0" applyFont="1" applyFill="1" applyBorder="1" applyAlignment="1">
      <alignment vertical="top" wrapText="1"/>
    </xf>
    <xf numFmtId="0" fontId="0" fillId="0" borderId="7" xfId="0" applyBorder="1"/>
    <xf numFmtId="0" fontId="0" fillId="0" borderId="28" xfId="0" applyBorder="1"/>
    <xf numFmtId="0" fontId="9" fillId="4" borderId="46" xfId="0" applyFont="1" applyFill="1" applyBorder="1" applyAlignment="1">
      <alignment vertical="top" wrapText="1"/>
    </xf>
    <xf numFmtId="0" fontId="0" fillId="0" borderId="33" xfId="0" applyBorder="1"/>
    <xf numFmtId="0" fontId="0" fillId="0" borderId="34" xfId="0" applyBorder="1"/>
    <xf numFmtId="0" fontId="6" fillId="3" borderId="41" xfId="0" applyFont="1" applyFill="1" applyBorder="1" applyAlignment="1">
      <alignment vertical="center" wrapText="1"/>
    </xf>
    <xf numFmtId="0" fontId="6" fillId="3" borderId="40" xfId="0" applyFont="1" applyFill="1" applyBorder="1" applyAlignment="1">
      <alignment vertical="center" wrapText="1"/>
    </xf>
    <xf numFmtId="0" fontId="9" fillId="4" borderId="44" xfId="0" applyFont="1" applyFill="1" applyBorder="1" applyAlignment="1">
      <alignment vertical="top" wrapText="1"/>
    </xf>
    <xf numFmtId="0" fontId="9" fillId="4" borderId="43" xfId="0" applyFont="1" applyFill="1" applyBorder="1" applyAlignment="1">
      <alignment vertical="top" wrapText="1"/>
    </xf>
    <xf numFmtId="0" fontId="13" fillId="4" borderId="10" xfId="0" applyFont="1" applyFill="1" applyBorder="1" applyAlignment="1">
      <alignment horizontal="left" vertical="center" wrapText="1"/>
    </xf>
    <xf numFmtId="0" fontId="0" fillId="0" borderId="29" xfId="0" applyBorder="1"/>
    <xf numFmtId="0" fontId="6" fillId="3" borderId="13" xfId="0" applyFont="1" applyFill="1" applyBorder="1" applyAlignment="1">
      <alignment horizontal="left" vertical="center"/>
    </xf>
    <xf numFmtId="0" fontId="6" fillId="3" borderId="4" xfId="0" applyFont="1" applyFill="1" applyBorder="1" applyAlignment="1">
      <alignment horizontal="left" vertical="center"/>
    </xf>
    <xf numFmtId="0" fontId="6" fillId="3" borderId="17" xfId="0" applyFont="1" applyFill="1" applyBorder="1" applyAlignment="1">
      <alignment horizontal="left" vertical="center" wrapText="1"/>
    </xf>
    <xf numFmtId="0" fontId="6" fillId="3" borderId="9" xfId="0" applyFont="1" applyFill="1" applyBorder="1" applyAlignment="1">
      <alignment horizontal="left" vertical="center" wrapText="1"/>
    </xf>
    <xf numFmtId="0" fontId="9" fillId="4" borderId="7" xfId="0" applyFont="1" applyFill="1" applyBorder="1" applyAlignment="1">
      <alignment horizontal="left" vertical="top" wrapText="1"/>
    </xf>
    <xf numFmtId="0" fontId="9" fillId="4" borderId="28" xfId="0" applyFont="1" applyFill="1" applyBorder="1" applyAlignment="1">
      <alignment horizontal="left" vertical="top" wrapText="1"/>
    </xf>
    <xf numFmtId="0" fontId="9" fillId="4" borderId="10" xfId="0" applyFont="1" applyFill="1" applyBorder="1" applyAlignment="1">
      <alignment horizontal="left" vertical="top" wrapText="1"/>
    </xf>
    <xf numFmtId="0" fontId="9" fillId="4" borderId="29" xfId="0" applyFont="1" applyFill="1" applyBorder="1" applyAlignment="1">
      <alignment horizontal="left" vertical="top" wrapText="1"/>
    </xf>
    <xf numFmtId="0" fontId="61" fillId="3" borderId="13" xfId="0" applyFont="1" applyFill="1" applyBorder="1" applyAlignment="1">
      <alignment horizontal="left" vertical="center"/>
    </xf>
    <xf numFmtId="0" fontId="61" fillId="3" borderId="4" xfId="0" applyFont="1" applyFill="1" applyBorder="1" applyAlignment="1">
      <alignment horizontal="left" vertical="center"/>
    </xf>
    <xf numFmtId="0" fontId="58" fillId="4" borderId="11" xfId="0" applyFont="1" applyFill="1" applyBorder="1" applyAlignment="1">
      <alignment vertical="top" wrapText="1"/>
    </xf>
    <xf numFmtId="0" fontId="57" fillId="0" borderId="10" xfId="0" applyFont="1" applyBorder="1"/>
    <xf numFmtId="0" fontId="57" fillId="0" borderId="29" xfId="0" applyFont="1" applyBorder="1"/>
    <xf numFmtId="0" fontId="62" fillId="3" borderId="13" xfId="0" applyFont="1" applyFill="1" applyBorder="1" applyAlignment="1">
      <alignment horizontal="left" vertical="center"/>
    </xf>
    <xf numFmtId="0" fontId="62" fillId="3" borderId="4" xfId="0" applyFont="1" applyFill="1" applyBorder="1" applyAlignment="1">
      <alignment horizontal="left" vertical="center"/>
    </xf>
    <xf numFmtId="0" fontId="56" fillId="4" borderId="11" xfId="0" applyFont="1" applyFill="1" applyBorder="1" applyAlignment="1">
      <alignment vertical="top" wrapText="1"/>
    </xf>
    <xf numFmtId="0" fontId="31" fillId="3" borderId="13" xfId="0" applyFont="1" applyFill="1" applyBorder="1" applyAlignment="1">
      <alignment horizontal="left" vertical="center"/>
    </xf>
    <xf numFmtId="0" fontId="31" fillId="3" borderId="4" xfId="0" applyFont="1" applyFill="1" applyBorder="1" applyAlignment="1">
      <alignment horizontal="left" vertical="center"/>
    </xf>
    <xf numFmtId="0" fontId="33" fillId="4" borderId="11" xfId="0" applyFont="1" applyFill="1" applyBorder="1" applyAlignment="1">
      <alignment vertical="top" wrapText="1"/>
    </xf>
    <xf numFmtId="0" fontId="23" fillId="0" borderId="10" xfId="0" applyFont="1" applyBorder="1"/>
    <xf numFmtId="0" fontId="23" fillId="0" borderId="29" xfId="0" applyFont="1" applyBorder="1"/>
    <xf numFmtId="0" fontId="21" fillId="4" borderId="46" xfId="0" applyFont="1" applyFill="1" applyBorder="1" applyAlignment="1">
      <alignment vertical="top" wrapText="1"/>
    </xf>
    <xf numFmtId="0" fontId="0" fillId="0" borderId="33" xfId="0" applyBorder="1" applyAlignment="1">
      <alignment wrapText="1"/>
    </xf>
    <xf numFmtId="0" fontId="0" fillId="0" borderId="34" xfId="0" applyBorder="1" applyAlignment="1">
      <alignment wrapText="1"/>
    </xf>
    <xf numFmtId="0" fontId="6" fillId="3" borderId="18" xfId="0" applyFont="1" applyFill="1" applyBorder="1" applyAlignment="1">
      <alignment horizontal="center" vertical="center" wrapText="1"/>
    </xf>
    <xf numFmtId="0" fontId="6" fillId="3" borderId="16" xfId="0" applyFont="1" applyFill="1" applyBorder="1" applyAlignment="1">
      <alignment horizontal="center" vertical="center" wrapText="1"/>
    </xf>
    <xf numFmtId="0" fontId="9" fillId="4" borderId="32" xfId="0" applyFont="1" applyFill="1" applyBorder="1" applyAlignment="1">
      <alignment horizontal="left" vertical="top" wrapText="1"/>
    </xf>
    <xf numFmtId="0" fontId="9" fillId="4" borderId="33" xfId="0" applyFont="1" applyFill="1" applyBorder="1" applyAlignment="1">
      <alignment horizontal="left" vertical="top" wrapText="1"/>
    </xf>
    <xf numFmtId="0" fontId="9" fillId="4" borderId="34" xfId="0" applyFont="1" applyFill="1" applyBorder="1" applyAlignment="1">
      <alignment horizontal="left" vertical="top" wrapText="1"/>
    </xf>
    <xf numFmtId="0" fontId="13" fillId="4" borderId="14" xfId="0" applyFont="1" applyFill="1" applyBorder="1" applyAlignment="1">
      <alignment vertical="center" wrapText="1"/>
    </xf>
    <xf numFmtId="0" fontId="17" fillId="0" borderId="9" xfId="0" applyFont="1" applyBorder="1"/>
    <xf numFmtId="0" fontId="17" fillId="0" borderId="14" xfId="0" applyFont="1" applyBorder="1"/>
    <xf numFmtId="0" fontId="6" fillId="3" borderId="37" xfId="0" applyFont="1" applyFill="1" applyBorder="1" applyAlignment="1">
      <alignment horizontal="left" vertical="center" wrapText="1"/>
    </xf>
    <xf numFmtId="0" fontId="6" fillId="3" borderId="35" xfId="0" applyFont="1" applyFill="1" applyBorder="1" applyAlignment="1">
      <alignment horizontal="left" vertical="center" wrapText="1"/>
    </xf>
    <xf numFmtId="0" fontId="9" fillId="4" borderId="25" xfId="0" applyFont="1" applyFill="1" applyBorder="1" applyAlignment="1">
      <alignment horizontal="left" vertical="top" wrapText="1"/>
    </xf>
    <xf numFmtId="0" fontId="9" fillId="4" borderId="26" xfId="0" applyFont="1" applyFill="1" applyBorder="1" applyAlignment="1">
      <alignment horizontal="left" vertical="top" wrapText="1"/>
    </xf>
    <xf numFmtId="0" fontId="9" fillId="4" borderId="27" xfId="0" applyFont="1" applyFill="1" applyBorder="1" applyAlignment="1">
      <alignment horizontal="left" vertical="top" wrapText="1"/>
    </xf>
    <xf numFmtId="0" fontId="6" fillId="3" borderId="13" xfId="0" applyFont="1" applyFill="1" applyBorder="1" applyAlignment="1">
      <alignment horizontal="left" vertical="center" wrapText="1"/>
    </xf>
    <xf numFmtId="0" fontId="6" fillId="3" borderId="4" xfId="0" applyFont="1" applyFill="1" applyBorder="1" applyAlignment="1">
      <alignment horizontal="left" vertical="center" wrapText="1"/>
    </xf>
    <xf numFmtId="0" fontId="2" fillId="4" borderId="11" xfId="0" applyFont="1" applyFill="1" applyBorder="1"/>
    <xf numFmtId="0" fontId="0" fillId="0" borderId="14" xfId="0" applyBorder="1"/>
    <xf numFmtId="0" fontId="6" fillId="3" borderId="13" xfId="0" applyFont="1" applyFill="1" applyBorder="1" applyAlignment="1">
      <alignment horizontal="center" vertical="center" wrapText="1"/>
    </xf>
    <xf numFmtId="0" fontId="6" fillId="3" borderId="4" xfId="0" applyFont="1" applyFill="1" applyBorder="1" applyAlignment="1">
      <alignment horizontal="center" vertical="center" wrapText="1"/>
    </xf>
    <xf numFmtId="0" fontId="6" fillId="3" borderId="5" xfId="0" applyFont="1" applyFill="1" applyBorder="1" applyAlignment="1">
      <alignment horizontal="center" vertical="center" wrapText="1"/>
    </xf>
    <xf numFmtId="0" fontId="8" fillId="7" borderId="35" xfId="0" applyFont="1" applyFill="1" applyBorder="1" applyAlignment="1">
      <alignment horizontal="left" vertical="center" wrapText="1"/>
    </xf>
    <xf numFmtId="0" fontId="8" fillId="7" borderId="9" xfId="0" applyFont="1" applyFill="1" applyBorder="1" applyAlignment="1">
      <alignment horizontal="left" vertical="center" wrapText="1"/>
    </xf>
    <xf numFmtId="0" fontId="8" fillId="7" borderId="10" xfId="0" applyFont="1" applyFill="1" applyBorder="1" applyAlignment="1">
      <alignment horizontal="left" vertical="center" wrapText="1"/>
    </xf>
    <xf numFmtId="0" fontId="3" fillId="5" borderId="51" xfId="0" applyFont="1" applyFill="1" applyBorder="1" applyAlignment="1">
      <alignment horizontal="center" vertical="center" wrapText="1"/>
    </xf>
    <xf numFmtId="0" fontId="3" fillId="5" borderId="53" xfId="0" applyFont="1" applyFill="1" applyBorder="1" applyAlignment="1">
      <alignment horizontal="center" vertical="center" wrapText="1"/>
    </xf>
    <xf numFmtId="0" fontId="3" fillId="5" borderId="54" xfId="0" applyFont="1" applyFill="1" applyBorder="1" applyAlignment="1">
      <alignment horizontal="center" vertical="center" wrapText="1"/>
    </xf>
    <xf numFmtId="0" fontId="6" fillId="3" borderId="3" xfId="0" applyFont="1" applyFill="1" applyBorder="1" applyAlignment="1">
      <alignment vertical="center" wrapText="1"/>
    </xf>
    <xf numFmtId="0" fontId="9" fillId="4" borderId="45" xfId="0" applyFont="1" applyFill="1" applyBorder="1" applyAlignment="1">
      <alignment vertical="top" wrapText="1"/>
    </xf>
    <xf numFmtId="0" fontId="2" fillId="0" borderId="45" xfId="0" applyFont="1" applyBorder="1"/>
    <xf numFmtId="0" fontId="8" fillId="7" borderId="77" xfId="0" applyFont="1" applyFill="1" applyBorder="1" applyAlignment="1">
      <alignment horizontal="center" vertical="top" wrapText="1"/>
    </xf>
    <xf numFmtId="0" fontId="8" fillId="7" borderId="78" xfId="0" applyFont="1" applyFill="1" applyBorder="1" applyAlignment="1">
      <alignment horizontal="center" vertical="top" wrapText="1"/>
    </xf>
    <xf numFmtId="0" fontId="8" fillId="7" borderId="79" xfId="0" applyFont="1" applyFill="1" applyBorder="1" applyAlignment="1">
      <alignment horizontal="center" vertical="top" wrapText="1"/>
    </xf>
    <xf numFmtId="0" fontId="8" fillId="7" borderId="80" xfId="0" applyFont="1" applyFill="1" applyBorder="1" applyAlignment="1">
      <alignment horizontal="center" vertical="top" wrapText="1"/>
    </xf>
    <xf numFmtId="0" fontId="8" fillId="7" borderId="9" xfId="0" applyFont="1" applyFill="1" applyBorder="1" applyAlignment="1">
      <alignment horizontal="center" vertical="top" wrapText="1"/>
    </xf>
    <xf numFmtId="0" fontId="8" fillId="7" borderId="81" xfId="0" applyFont="1" applyFill="1" applyBorder="1" applyAlignment="1">
      <alignment horizontal="center" vertical="top" wrapText="1"/>
    </xf>
    <xf numFmtId="0" fontId="8" fillId="7" borderId="82" xfId="0" applyFont="1" applyFill="1" applyBorder="1" applyAlignment="1">
      <alignment horizontal="center" vertical="top" wrapText="1"/>
    </xf>
    <xf numFmtId="0" fontId="8" fillId="7" borderId="83" xfId="0" applyFont="1" applyFill="1" applyBorder="1" applyAlignment="1">
      <alignment horizontal="center" vertical="top" wrapText="1"/>
    </xf>
    <xf numFmtId="0" fontId="8" fillId="7" borderId="84" xfId="0" applyFont="1" applyFill="1" applyBorder="1" applyAlignment="1">
      <alignment horizontal="center" vertical="top" wrapText="1"/>
    </xf>
    <xf numFmtId="0" fontId="6" fillId="3" borderId="13" xfId="0" applyFont="1" applyFill="1" applyBorder="1" applyAlignment="1">
      <alignment vertical="center" wrapText="1"/>
    </xf>
    <xf numFmtId="0" fontId="6" fillId="3" borderId="4" xfId="0" applyFont="1" applyFill="1" applyBorder="1" applyAlignment="1">
      <alignment vertical="center" wrapText="1"/>
    </xf>
    <xf numFmtId="0" fontId="6" fillId="3" borderId="5" xfId="0" applyFont="1" applyFill="1" applyBorder="1" applyAlignment="1">
      <alignment vertical="center" wrapText="1"/>
    </xf>
    <xf numFmtId="0" fontId="9" fillId="4" borderId="10" xfId="0" applyFont="1" applyFill="1" applyBorder="1" applyAlignment="1">
      <alignment vertical="top" wrapText="1"/>
    </xf>
    <xf numFmtId="0" fontId="13" fillId="4" borderId="9" xfId="0" applyFont="1" applyFill="1" applyBorder="1" applyAlignment="1">
      <alignment vertical="center" wrapText="1"/>
    </xf>
    <xf numFmtId="0" fontId="18" fillId="0" borderId="9" xfId="0" applyFont="1" applyBorder="1"/>
    <xf numFmtId="0" fontId="3" fillId="5" borderId="12" xfId="0" applyFont="1" applyFill="1" applyBorder="1" applyAlignment="1">
      <alignment horizontal="center" vertical="center" wrapText="1"/>
    </xf>
    <xf numFmtId="0" fontId="3" fillId="5" borderId="7" xfId="0" applyFont="1" applyFill="1" applyBorder="1" applyAlignment="1">
      <alignment horizontal="center" vertical="center" wrapText="1"/>
    </xf>
    <xf numFmtId="0" fontId="3" fillId="5" borderId="8" xfId="0" applyFont="1" applyFill="1" applyBorder="1" applyAlignment="1">
      <alignment horizontal="center" vertical="center" wrapText="1"/>
    </xf>
    <xf numFmtId="0" fontId="2" fillId="0" borderId="4" xfId="0" applyFont="1" applyBorder="1"/>
    <xf numFmtId="0" fontId="2" fillId="0" borderId="47" xfId="0" applyFont="1" applyBorder="1"/>
    <xf numFmtId="0" fontId="19" fillId="3" borderId="32" xfId="0" applyFont="1" applyFill="1" applyBorder="1" applyAlignment="1">
      <alignment horizontal="left" vertical="center" wrapText="1"/>
    </xf>
    <xf numFmtId="0" fontId="6" fillId="3" borderId="33" xfId="0" applyFont="1" applyFill="1" applyBorder="1" applyAlignment="1">
      <alignment horizontal="left" vertical="center" wrapText="1"/>
    </xf>
    <xf numFmtId="0" fontId="6" fillId="3" borderId="34" xfId="0" applyFont="1" applyFill="1" applyBorder="1" applyAlignment="1">
      <alignment horizontal="left" vertical="center" wrapText="1"/>
    </xf>
    <xf numFmtId="0" fontId="2" fillId="4" borderId="80" xfId="0" applyFont="1" applyFill="1" applyBorder="1" applyAlignment="1">
      <alignment horizontal="center" vertical="center" wrapText="1"/>
    </xf>
    <xf numFmtId="0" fontId="21" fillId="4" borderId="50" xfId="0" applyFont="1" applyFill="1" applyBorder="1" applyAlignment="1">
      <alignment horizontal="left" vertical="top" wrapText="1"/>
    </xf>
    <xf numFmtId="0" fontId="21" fillId="4" borderId="9" xfId="0" applyFont="1" applyFill="1" applyBorder="1" applyAlignment="1">
      <alignment horizontal="left" vertical="top" wrapText="1"/>
    </xf>
    <xf numFmtId="0" fontId="9" fillId="4" borderId="32" xfId="0" applyFont="1" applyFill="1" applyBorder="1" applyAlignment="1">
      <alignment vertical="top" wrapText="1"/>
    </xf>
    <xf numFmtId="0" fontId="9" fillId="4" borderId="33" xfId="0" applyFont="1" applyFill="1" applyBorder="1" applyAlignment="1">
      <alignment vertical="top" wrapText="1"/>
    </xf>
    <xf numFmtId="0" fontId="9" fillId="4" borderId="34" xfId="0" applyFont="1" applyFill="1" applyBorder="1" applyAlignment="1">
      <alignment vertical="top" wrapText="1"/>
    </xf>
    <xf numFmtId="0" fontId="13" fillId="4" borderId="26" xfId="0" applyFont="1" applyFill="1" applyBorder="1" applyAlignment="1">
      <alignment horizontal="left" vertical="center" wrapText="1"/>
    </xf>
    <xf numFmtId="0" fontId="6" fillId="3" borderId="18" xfId="0" applyFont="1" applyFill="1" applyBorder="1" applyAlignment="1">
      <alignment horizontal="left" vertical="center" wrapText="1"/>
    </xf>
    <xf numFmtId="0" fontId="6" fillId="3" borderId="16" xfId="0" applyFont="1" applyFill="1" applyBorder="1" applyAlignment="1">
      <alignment horizontal="left" vertical="center" wrapText="1"/>
    </xf>
    <xf numFmtId="0" fontId="9" fillId="4" borderId="4" xfId="0" applyFont="1" applyFill="1" applyBorder="1" applyAlignment="1">
      <alignment horizontal="left" vertical="top" wrapText="1"/>
    </xf>
    <xf numFmtId="0" fontId="6" fillId="3" borderId="14" xfId="0" applyFont="1" applyFill="1" applyBorder="1" applyAlignment="1">
      <alignment horizontal="left" vertical="center" wrapText="1"/>
    </xf>
    <xf numFmtId="0" fontId="22" fillId="7" borderId="12" xfId="0" applyFont="1" applyFill="1" applyBorder="1" applyAlignment="1">
      <alignment horizontal="center" vertical="top" wrapText="1"/>
    </xf>
    <xf numFmtId="0" fontId="22" fillId="7" borderId="7" xfId="0" applyFont="1" applyFill="1" applyBorder="1" applyAlignment="1">
      <alignment horizontal="center" vertical="top" wrapText="1"/>
    </xf>
    <xf numFmtId="0" fontId="22" fillId="7" borderId="8" xfId="0" applyFont="1" applyFill="1" applyBorder="1" applyAlignment="1">
      <alignment horizontal="center" vertical="top" wrapText="1"/>
    </xf>
    <xf numFmtId="0" fontId="22" fillId="7" borderId="48" xfId="0" applyFont="1" applyFill="1" applyBorder="1" applyAlignment="1">
      <alignment horizontal="center" vertical="center" wrapText="1"/>
    </xf>
    <xf numFmtId="0" fontId="22" fillId="7" borderId="85" xfId="0" applyFont="1" applyFill="1" applyBorder="1" applyAlignment="1">
      <alignment horizontal="center" vertical="center" wrapText="1"/>
    </xf>
    <xf numFmtId="0" fontId="22" fillId="7" borderId="86" xfId="0" applyFont="1" applyFill="1" applyBorder="1" applyAlignment="1">
      <alignment horizontal="center" vertical="center" wrapText="1"/>
    </xf>
    <xf numFmtId="0" fontId="42" fillId="0" borderId="63" xfId="0" applyFont="1" applyBorder="1" applyAlignment="1">
      <alignment wrapText="1"/>
    </xf>
    <xf numFmtId="0" fontId="42" fillId="0" borderId="9" xfId="0" applyFont="1" applyBorder="1" applyAlignment="1">
      <alignment wrapText="1"/>
    </xf>
    <xf numFmtId="0" fontId="44" fillId="0" borderId="69" xfId="0" applyFont="1" applyBorder="1" applyAlignment="1">
      <alignment wrapText="1"/>
    </xf>
    <xf numFmtId="0" fontId="44" fillId="0" borderId="68" xfId="0" applyFont="1" applyBorder="1" applyAlignment="1">
      <alignment wrapText="1"/>
    </xf>
    <xf numFmtId="0" fontId="47" fillId="0" borderId="69" xfId="0" applyFont="1" applyBorder="1" applyAlignment="1">
      <alignment wrapText="1"/>
    </xf>
    <xf numFmtId="0" fontId="47" fillId="0" borderId="68" xfId="0" applyFont="1" applyBorder="1" applyAlignment="1">
      <alignment wrapText="1"/>
    </xf>
    <xf numFmtId="0" fontId="49" fillId="0" borderId="69" xfId="0" applyFont="1" applyBorder="1" applyAlignment="1">
      <alignment wrapText="1"/>
    </xf>
    <xf numFmtId="0" fontId="49" fillId="0" borderId="68" xfId="0" applyFont="1" applyBorder="1" applyAlignment="1">
      <alignment wrapText="1"/>
    </xf>
    <xf numFmtId="0" fontId="42" fillId="0" borderId="67" xfId="0" applyFont="1" applyBorder="1" applyAlignment="1">
      <alignment wrapText="1"/>
    </xf>
    <xf numFmtId="0" fontId="42" fillId="0" borderId="66" xfId="0" applyFont="1" applyBorder="1" applyAlignment="1">
      <alignment wrapText="1"/>
    </xf>
    <xf numFmtId="0" fontId="44" fillId="0" borderId="74" xfId="0" applyFont="1" applyBorder="1" applyAlignment="1">
      <alignment wrapText="1"/>
    </xf>
    <xf numFmtId="0" fontId="44" fillId="0" borderId="73" xfId="0" applyFont="1" applyBorder="1" applyAlignment="1">
      <alignment wrapText="1"/>
    </xf>
    <xf numFmtId="0" fontId="42" fillId="0" borderId="61" xfId="0" applyFont="1" applyBorder="1" applyAlignment="1">
      <alignment wrapText="1"/>
    </xf>
    <xf numFmtId="0" fontId="42" fillId="0" borderId="62" xfId="0" applyFont="1" applyBorder="1" applyAlignment="1">
      <alignment wrapText="1"/>
    </xf>
    <xf numFmtId="0" fontId="49" fillId="0" borderId="71" xfId="0" applyFont="1" applyBorder="1" applyAlignment="1">
      <alignment wrapText="1"/>
    </xf>
    <xf numFmtId="0" fontId="49" fillId="0" borderId="70" xfId="0" applyFont="1" applyBorder="1" applyAlignment="1">
      <alignment wrapText="1"/>
    </xf>
    <xf numFmtId="0" fontId="47" fillId="0" borderId="71" xfId="0" applyFont="1" applyBorder="1" applyAlignment="1">
      <alignment wrapText="1"/>
    </xf>
    <xf numFmtId="0" fontId="47" fillId="0" borderId="70" xfId="0" applyFont="1" applyBorder="1" applyAlignment="1">
      <alignment wrapText="1"/>
    </xf>
    <xf numFmtId="0" fontId="42" fillId="0" borderId="64" xfId="0" applyFont="1" applyBorder="1" applyAlignment="1">
      <alignment wrapText="1"/>
    </xf>
    <xf numFmtId="0" fontId="42" fillId="0" borderId="65" xfId="0" applyFont="1" applyBorder="1" applyAlignment="1">
      <alignment wrapText="1"/>
    </xf>
    <xf numFmtId="0" fontId="43" fillId="0" borderId="67" xfId="0" applyFont="1" applyBorder="1" applyAlignment="1">
      <alignment wrapText="1"/>
    </xf>
    <xf numFmtId="0" fontId="43" fillId="0" borderId="66" xfId="0" applyFont="1" applyBorder="1" applyAlignment="1">
      <alignment wrapText="1"/>
    </xf>
    <xf numFmtId="0" fontId="43" fillId="0" borderId="62" xfId="0" applyFont="1" applyBorder="1" applyAlignment="1">
      <alignment wrapText="1"/>
    </xf>
    <xf numFmtId="0" fontId="43" fillId="0" borderId="72" xfId="0" applyFont="1" applyBorder="1" applyAlignment="1">
      <alignment wrapText="1"/>
    </xf>
    <xf numFmtId="0" fontId="49" fillId="0" borderId="65" xfId="0" applyFont="1" applyBorder="1" applyAlignment="1">
      <alignment wrapText="1"/>
    </xf>
    <xf numFmtId="0" fontId="49" fillId="0" borderId="60" xfId="0" applyFont="1" applyBorder="1" applyAlignment="1">
      <alignment wrapText="1"/>
    </xf>
    <xf numFmtId="0" fontId="44" fillId="0" borderId="9" xfId="0" applyFont="1" applyBorder="1" applyAlignment="1">
      <alignment wrapText="1"/>
    </xf>
    <xf numFmtId="0" fontId="44" fillId="0" borderId="75" xfId="0" applyFont="1" applyBorder="1" applyAlignment="1">
      <alignment wrapText="1"/>
    </xf>
    <xf numFmtId="0" fontId="47" fillId="0" borderId="9" xfId="0" applyFont="1" applyBorder="1" applyAlignment="1">
      <alignment wrapText="1"/>
    </xf>
    <xf numFmtId="0" fontId="47" fillId="0" borderId="75" xfId="0" applyFont="1" applyBorder="1" applyAlignment="1">
      <alignment wrapText="1"/>
    </xf>
    <xf numFmtId="0" fontId="37" fillId="9" borderId="76" xfId="0" applyFont="1" applyFill="1" applyBorder="1" applyAlignment="1">
      <alignment horizontal="left"/>
    </xf>
    <xf numFmtId="0" fontId="34" fillId="0" borderId="76" xfId="0" applyFont="1" applyBorder="1" applyAlignment="1">
      <alignment horizontal="left" wrapText="1"/>
    </xf>
    <xf numFmtId="0" fontId="19" fillId="3" borderId="37" xfId="0" applyFont="1" applyFill="1" applyBorder="1" applyAlignment="1">
      <alignment horizontal="left" vertical="center" wrapText="1"/>
    </xf>
    <xf numFmtId="0" fontId="19" fillId="3" borderId="35" xfId="0" applyFont="1" applyFill="1" applyBorder="1" applyAlignment="1">
      <alignment horizontal="left" vertical="center" wrapText="1"/>
    </xf>
    <xf numFmtId="0" fontId="9" fillId="4" borderId="50" xfId="0" applyFont="1" applyFill="1" applyBorder="1" applyAlignment="1">
      <alignment horizontal="left" vertical="top" wrapText="1"/>
    </xf>
    <xf numFmtId="0" fontId="19" fillId="3" borderId="17" xfId="0" applyFont="1" applyFill="1" applyBorder="1" applyAlignment="1">
      <alignment horizontal="left" vertical="center" wrapText="1"/>
    </xf>
    <xf numFmtId="0" fontId="19" fillId="3" borderId="9" xfId="0" applyFont="1" applyFill="1" applyBorder="1" applyAlignment="1">
      <alignment horizontal="left" vertical="center" wrapText="1"/>
    </xf>
    <xf numFmtId="0" fontId="65" fillId="0" borderId="57" xfId="0" applyFont="1" applyBorder="1" applyAlignment="1">
      <alignment vertical="top" wrapText="1"/>
    </xf>
    <xf numFmtId="0" fontId="34" fillId="0" borderId="58" xfId="0" applyFont="1" applyBorder="1" applyAlignment="1">
      <alignment vertical="top" wrapText="1"/>
    </xf>
    <xf numFmtId="0" fontId="65" fillId="0" borderId="58" xfId="0" applyFont="1" applyBorder="1" applyAlignment="1">
      <alignment vertical="top" wrapText="1"/>
    </xf>
    <xf numFmtId="0" fontId="8" fillId="0" borderId="87" xfId="0" applyFont="1" applyBorder="1" applyAlignment="1">
      <alignment horizontal="center" vertical="top" wrapText="1"/>
    </xf>
    <xf numFmtId="0" fontId="8" fillId="0" borderId="85" xfId="0" applyFont="1" applyBorder="1" applyAlignment="1">
      <alignment horizontal="center" vertical="top" wrapText="1"/>
    </xf>
    <xf numFmtId="0" fontId="8" fillId="0" borderId="86" xfId="0" applyFont="1" applyBorder="1" applyAlignment="1">
      <alignment horizontal="center" vertical="top" wrapText="1"/>
    </xf>
    <xf numFmtId="0" fontId="8" fillId="7" borderId="12" xfId="0" applyFont="1" applyFill="1" applyBorder="1" applyAlignment="1">
      <alignment horizontal="left" vertical="top" wrapText="1"/>
    </xf>
    <xf numFmtId="0" fontId="8" fillId="7" borderId="7" xfId="0" applyFont="1" applyFill="1" applyBorder="1" applyAlignment="1">
      <alignment horizontal="left" vertical="top" wrapText="1"/>
    </xf>
    <xf numFmtId="0" fontId="8" fillId="7" borderId="8" xfId="0" applyFont="1" applyFill="1" applyBorder="1" applyAlignment="1">
      <alignment horizontal="left" vertical="top" wrapText="1"/>
    </xf>
    <xf numFmtId="165" fontId="8" fillId="7" borderId="12" xfId="0" applyNumberFormat="1" applyFont="1" applyFill="1" applyBorder="1" applyAlignment="1">
      <alignment vertical="top" wrapText="1"/>
    </xf>
    <xf numFmtId="0" fontId="66" fillId="12" borderId="9" xfId="0" applyFont="1" applyFill="1" applyBorder="1"/>
    <xf numFmtId="0" fontId="67" fillId="12" borderId="9" xfId="0" applyFont="1" applyFill="1" applyBorder="1"/>
    <xf numFmtId="0" fontId="0" fillId="12" borderId="9" xfId="0" applyFill="1" applyBorder="1"/>
  </cellXfs>
  <cellStyles count="2">
    <cellStyle name="Currency" xfId="1" builtinId="4"/>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3"/>
  </sheetPr>
  <dimension ref="A1:D20"/>
  <sheetViews>
    <sheetView showGridLines="0" zoomScaleNormal="100" workbookViewId="0"/>
  </sheetViews>
  <sheetFormatPr baseColWidth="10" defaultColWidth="8.83203125" defaultRowHeight="15" x14ac:dyDescent="0.2"/>
  <cols>
    <col min="1" max="1" width="2.5" customWidth="1"/>
    <col min="2" max="2" width="7" customWidth="1"/>
    <col min="3" max="3" width="38" customWidth="1"/>
    <col min="4" max="4" width="52" customWidth="1"/>
  </cols>
  <sheetData>
    <row r="1" spans="1:4" ht="12" customHeight="1" x14ac:dyDescent="0.2">
      <c r="A1" s="8"/>
      <c r="B1" s="8"/>
      <c r="C1" s="8"/>
      <c r="D1" s="8"/>
    </row>
    <row r="2" spans="1:4" ht="22" customHeight="1" x14ac:dyDescent="0.25">
      <c r="A2" s="8"/>
      <c r="B2" s="151" t="s">
        <v>0</v>
      </c>
      <c r="C2" s="152"/>
      <c r="D2" s="153"/>
    </row>
    <row r="3" spans="1:4" ht="20" customHeight="1" x14ac:dyDescent="0.2">
      <c r="A3" s="8"/>
      <c r="B3" s="154" t="s">
        <v>1</v>
      </c>
      <c r="C3" s="149"/>
      <c r="D3" s="150"/>
    </row>
    <row r="4" spans="1:4" ht="3" customHeight="1" x14ac:dyDescent="0.2">
      <c r="A4" s="8"/>
      <c r="B4" s="2"/>
      <c r="C4" s="2"/>
      <c r="D4" s="2"/>
    </row>
    <row r="5" spans="1:4" ht="4.5" customHeight="1" x14ac:dyDescent="0.2">
      <c r="A5" s="8"/>
      <c r="B5" s="8"/>
      <c r="C5" s="8"/>
      <c r="D5" s="8"/>
    </row>
    <row r="6" spans="1:4" ht="20" customHeight="1" x14ac:dyDescent="0.2">
      <c r="A6" s="8"/>
      <c r="B6" s="148" t="s">
        <v>2</v>
      </c>
      <c r="C6" s="149"/>
      <c r="D6" s="150"/>
    </row>
    <row r="7" spans="1:4" ht="2.5" customHeight="1" x14ac:dyDescent="0.2">
      <c r="A7" s="8"/>
      <c r="B7" s="8"/>
      <c r="C7" s="8"/>
      <c r="D7" s="8"/>
    </row>
    <row r="8" spans="1:4" ht="24" customHeight="1" x14ac:dyDescent="0.2">
      <c r="A8" s="8"/>
      <c r="B8" s="9" t="s">
        <v>3</v>
      </c>
      <c r="C8" s="10" t="s">
        <v>4</v>
      </c>
      <c r="D8" s="10" t="s">
        <v>5</v>
      </c>
    </row>
    <row r="9" spans="1:4" ht="6" customHeight="1" x14ac:dyDescent="0.2">
      <c r="A9" s="8"/>
      <c r="B9" s="11"/>
      <c r="C9" s="11"/>
      <c r="D9" s="11"/>
    </row>
    <row r="10" spans="1:4" ht="30" customHeight="1" x14ac:dyDescent="0.2">
      <c r="A10" s="26"/>
      <c r="B10" s="41" t="s">
        <v>6</v>
      </c>
      <c r="C10" s="42" t="s">
        <v>7</v>
      </c>
      <c r="D10" s="43" t="s">
        <v>8</v>
      </c>
    </row>
    <row r="11" spans="1:4" ht="30" customHeight="1" x14ac:dyDescent="0.2">
      <c r="A11" s="26"/>
      <c r="B11" s="44" t="s">
        <v>9</v>
      </c>
      <c r="C11" s="12" t="s">
        <v>10</v>
      </c>
      <c r="D11" s="45" t="s">
        <v>11</v>
      </c>
    </row>
    <row r="12" spans="1:4" ht="30" customHeight="1" x14ac:dyDescent="0.2">
      <c r="A12" s="26"/>
      <c r="B12" s="44" t="s">
        <v>12</v>
      </c>
      <c r="C12" s="12" t="s">
        <v>13</v>
      </c>
      <c r="D12" s="45" t="s">
        <v>14</v>
      </c>
    </row>
    <row r="13" spans="1:4" ht="30" customHeight="1" x14ac:dyDescent="0.2">
      <c r="A13" s="26"/>
      <c r="B13" s="44" t="s">
        <v>15</v>
      </c>
      <c r="C13" s="12" t="s">
        <v>16</v>
      </c>
      <c r="D13" s="45" t="s">
        <v>17</v>
      </c>
    </row>
    <row r="14" spans="1:4" ht="30" customHeight="1" x14ac:dyDescent="0.2">
      <c r="A14" s="26"/>
      <c r="B14" s="44" t="s">
        <v>18</v>
      </c>
      <c r="C14" s="12" t="s">
        <v>19</v>
      </c>
      <c r="D14" s="45" t="s">
        <v>20</v>
      </c>
    </row>
    <row r="15" spans="1:4" ht="30" customHeight="1" x14ac:dyDescent="0.2">
      <c r="A15" s="26"/>
      <c r="B15" s="44" t="s">
        <v>21</v>
      </c>
      <c r="C15" s="12" t="s">
        <v>22</v>
      </c>
      <c r="D15" s="45" t="s">
        <v>23</v>
      </c>
    </row>
    <row r="16" spans="1:4" ht="30" customHeight="1" x14ac:dyDescent="0.2">
      <c r="A16" s="26"/>
      <c r="B16" s="44" t="s">
        <v>24</v>
      </c>
      <c r="C16" s="12" t="s">
        <v>25</v>
      </c>
      <c r="D16" s="45" t="s">
        <v>26</v>
      </c>
    </row>
    <row r="17" spans="1:4" s="7" customFormat="1" ht="30" customHeight="1" x14ac:dyDescent="0.2">
      <c r="A17" s="26"/>
      <c r="B17" s="46" t="s">
        <v>27</v>
      </c>
      <c r="C17" s="47" t="s">
        <v>28</v>
      </c>
      <c r="D17" s="48" t="s">
        <v>29</v>
      </c>
    </row>
    <row r="18" spans="1:4" ht="48" x14ac:dyDescent="0.2">
      <c r="A18" s="26"/>
      <c r="B18" s="87" t="s">
        <v>30</v>
      </c>
      <c r="C18" s="47" t="s">
        <v>31</v>
      </c>
      <c r="D18" s="48" t="s">
        <v>32</v>
      </c>
    </row>
    <row r="19" spans="1:4" ht="3" customHeight="1" x14ac:dyDescent="0.2">
      <c r="A19" s="8"/>
      <c r="B19" s="13"/>
      <c r="C19" s="13"/>
      <c r="D19" s="13"/>
    </row>
    <row r="20" spans="1:4" ht="16" customHeight="1" x14ac:dyDescent="0.2">
      <c r="A20" s="7"/>
      <c r="B20" s="7"/>
      <c r="C20" s="7"/>
      <c r="D20" s="7"/>
    </row>
  </sheetData>
  <mergeCells count="3">
    <mergeCell ref="B6:D6"/>
    <mergeCell ref="B2:D2"/>
    <mergeCell ref="B3:D3"/>
  </mergeCells>
  <hyperlinks>
    <hyperlink ref="C10" location="'1.0  Table of Contents'!B2" display="Table of Contents" xr:uid="{00000000-0004-0000-0000-000000000000}"/>
    <hyperlink ref="C11" location="'2.0  Industry Experience'!B2" display="Industry Experience" xr:uid="{00000000-0004-0000-0000-000001000000}"/>
    <hyperlink ref="C12" location="'3.0  Relevant Experience'!B2" display="Relevant Experience" xr:uid="{00000000-0004-0000-0000-000002000000}"/>
    <hyperlink ref="C13" location="'4.0  Workforce &amp; Delivery'!B2" display="Workforce &amp; Delivery" xr:uid="{00000000-0004-0000-0000-000003000000}"/>
    <hyperlink ref="C14" location="'5.0  Technology Solution'!B2" display="Technology Solution" xr:uid="{00000000-0004-0000-0000-000004000000}"/>
    <hyperlink ref="C15" location="'6.0  Pricing'!B2" display="Pricing" xr:uid="{00000000-0004-0000-0000-000005000000}"/>
    <hyperlink ref="C16" location="'7.0  Client Migration'!B2" display="Client Migration" xr:uid="{00000000-0004-0000-0000-000006000000}"/>
    <hyperlink ref="C17" location="'8.0  Regulatory Compliance'!B2" display="Regulatory Compliance" xr:uid="{04AB092F-F531-485D-805C-3B948E783C90}"/>
    <hyperlink ref="C18" location="'9.0 Client EfficiencyAssumption'!A1" display="Client EfficiencyAssumption" xr:uid="{203D8F06-4BFC-4AAC-BAAA-63D06F8C2627}"/>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3"/>
  </sheetPr>
  <dimension ref="A1:I25"/>
  <sheetViews>
    <sheetView showGridLines="0" zoomScale="93" zoomScaleNormal="93" workbookViewId="0">
      <pane xSplit="1" ySplit="3" topLeftCell="B9" activePane="bottomRight" state="frozen"/>
      <selection pane="topRight"/>
      <selection pane="bottomLeft"/>
      <selection pane="bottomRight" activeCell="A11" sqref="A11"/>
    </sheetView>
  </sheetViews>
  <sheetFormatPr baseColWidth="10" defaultColWidth="8.83203125" defaultRowHeight="15" x14ac:dyDescent="0.2"/>
  <cols>
    <col min="1" max="1" width="2.5" customWidth="1"/>
    <col min="2" max="2" width="34" customWidth="1"/>
    <col min="3" max="3" width="52" customWidth="1"/>
    <col min="4" max="4" width="73.6640625" customWidth="1"/>
    <col min="6" max="6" width="39.5" customWidth="1"/>
    <col min="7" max="7" width="113.83203125" customWidth="1"/>
  </cols>
  <sheetData>
    <row r="1" spans="1:9" x14ac:dyDescent="0.2">
      <c r="A1" s="11"/>
      <c r="B1" s="11"/>
      <c r="C1" s="11"/>
      <c r="D1" s="11"/>
      <c r="E1" s="7"/>
      <c r="F1" s="7"/>
      <c r="G1" s="7"/>
      <c r="H1" s="7"/>
      <c r="I1" s="7"/>
    </row>
    <row r="2" spans="1:9" x14ac:dyDescent="0.2">
      <c r="A2" s="8"/>
      <c r="B2" s="151" t="s">
        <v>33</v>
      </c>
      <c r="C2" s="149"/>
      <c r="D2" s="149"/>
      <c r="E2" s="7"/>
      <c r="F2" s="7"/>
      <c r="G2" s="7"/>
      <c r="H2" s="7"/>
      <c r="I2" s="7"/>
    </row>
    <row r="3" spans="1:9" x14ac:dyDescent="0.2">
      <c r="A3" s="8"/>
      <c r="B3" s="155" t="s">
        <v>34</v>
      </c>
      <c r="C3" s="149"/>
      <c r="D3" s="150"/>
      <c r="E3" s="7"/>
      <c r="F3" s="7"/>
      <c r="G3" s="7"/>
      <c r="H3" s="7"/>
      <c r="I3" s="7"/>
    </row>
    <row r="4" spans="1:9" x14ac:dyDescent="0.2">
      <c r="A4" s="11"/>
      <c r="B4" s="11"/>
      <c r="C4" s="11"/>
      <c r="D4" s="11"/>
      <c r="E4" s="7"/>
      <c r="F4" s="7"/>
      <c r="G4" s="7"/>
      <c r="H4" s="7"/>
      <c r="I4" s="7"/>
    </row>
    <row r="5" spans="1:9" s="7" customFormat="1" x14ac:dyDescent="0.2">
      <c r="A5" s="11"/>
      <c r="B5" s="11"/>
      <c r="C5" s="11"/>
      <c r="D5" s="11"/>
    </row>
    <row r="6" spans="1:9" s="7" customFormat="1" x14ac:dyDescent="0.2">
      <c r="A6" s="11"/>
      <c r="B6" s="11"/>
      <c r="C6" s="11"/>
      <c r="D6" s="11"/>
    </row>
    <row r="7" spans="1:9" s="7" customFormat="1" ht="50" customHeight="1" x14ac:dyDescent="0.2">
      <c r="A7" s="11"/>
      <c r="B7" s="156" t="s">
        <v>35</v>
      </c>
      <c r="C7" s="157"/>
      <c r="D7" s="157"/>
      <c r="E7" s="157"/>
      <c r="F7" s="157"/>
      <c r="G7" s="157"/>
      <c r="H7" s="157"/>
      <c r="I7" s="157"/>
    </row>
    <row r="8" spans="1:9" s="7" customFormat="1" x14ac:dyDescent="0.2">
      <c r="A8" s="11"/>
      <c r="B8" s="11"/>
      <c r="C8" s="11"/>
      <c r="D8" s="11"/>
    </row>
    <row r="9" spans="1:9" s="7" customFormat="1" x14ac:dyDescent="0.2">
      <c r="A9" s="11"/>
      <c r="B9" s="11" t="s">
        <v>34</v>
      </c>
      <c r="C9" s="11"/>
      <c r="D9" s="11"/>
    </row>
    <row r="10" spans="1:9" s="7" customFormat="1" x14ac:dyDescent="0.2">
      <c r="A10" s="11"/>
      <c r="B10" s="11"/>
      <c r="C10" s="11"/>
      <c r="D10" s="11"/>
    </row>
    <row r="11" spans="1:9" ht="16" x14ac:dyDescent="0.2">
      <c r="A11" s="8"/>
      <c r="B11" s="9" t="s">
        <v>36</v>
      </c>
      <c r="C11" s="9" t="s">
        <v>37</v>
      </c>
      <c r="D11" s="9" t="s">
        <v>38</v>
      </c>
      <c r="E11" s="7"/>
      <c r="F11" s="130"/>
      <c r="G11" s="130"/>
      <c r="H11" s="7"/>
      <c r="I11" s="7"/>
    </row>
    <row r="12" spans="1:9" x14ac:dyDescent="0.2">
      <c r="A12" s="11"/>
      <c r="B12" s="11"/>
      <c r="C12" s="11"/>
      <c r="D12" s="11"/>
      <c r="E12" s="7"/>
      <c r="F12" s="7"/>
      <c r="G12" s="7"/>
      <c r="H12" s="7"/>
      <c r="I12" s="7"/>
    </row>
    <row r="13" spans="1:9" ht="409.6" x14ac:dyDescent="0.2">
      <c r="A13" s="8"/>
      <c r="B13" s="14" t="s">
        <v>39</v>
      </c>
      <c r="C13" s="15" t="s">
        <v>40</v>
      </c>
      <c r="D13" s="61" t="s">
        <v>796</v>
      </c>
      <c r="E13" s="117"/>
      <c r="F13" s="117"/>
      <c r="G13" s="117"/>
      <c r="H13" s="7"/>
      <c r="I13" s="7"/>
    </row>
    <row r="14" spans="1:9" ht="409.6" x14ac:dyDescent="0.2">
      <c r="A14" s="8"/>
      <c r="B14" s="14" t="s">
        <v>41</v>
      </c>
      <c r="C14" s="15" t="s">
        <v>42</v>
      </c>
      <c r="D14" s="303" t="s">
        <v>797</v>
      </c>
      <c r="E14" s="7"/>
      <c r="F14" s="117"/>
      <c r="G14" s="117"/>
      <c r="H14" s="7"/>
      <c r="I14" s="7"/>
    </row>
    <row r="15" spans="1:9" ht="112" x14ac:dyDescent="0.2">
      <c r="A15" s="8"/>
      <c r="B15" s="14" t="s">
        <v>43</v>
      </c>
      <c r="C15" s="15" t="s">
        <v>44</v>
      </c>
      <c r="D15" s="304" t="s">
        <v>45</v>
      </c>
      <c r="E15" s="7"/>
      <c r="F15" s="117"/>
      <c r="G15" s="117"/>
      <c r="H15" s="7"/>
      <c r="I15" s="7"/>
    </row>
    <row r="16" spans="1:9" ht="144" x14ac:dyDescent="0.2">
      <c r="A16" s="8"/>
      <c r="B16" s="14" t="s">
        <v>46</v>
      </c>
      <c r="C16" s="15" t="s">
        <v>47</v>
      </c>
      <c r="D16" s="304" t="s">
        <v>48</v>
      </c>
      <c r="E16" s="7"/>
      <c r="F16" s="117"/>
      <c r="G16" s="117"/>
      <c r="H16" s="7"/>
      <c r="I16" s="7"/>
    </row>
    <row r="17" spans="1:7" ht="176" x14ac:dyDescent="0.2">
      <c r="A17" s="8"/>
      <c r="B17" s="14" t="s">
        <v>49</v>
      </c>
      <c r="C17" s="15" t="s">
        <v>50</v>
      </c>
      <c r="D17" s="304" t="s">
        <v>45</v>
      </c>
      <c r="E17" s="7"/>
      <c r="F17" s="117"/>
      <c r="G17" s="117"/>
    </row>
    <row r="18" spans="1:7" ht="128" x14ac:dyDescent="0.2">
      <c r="A18" s="8"/>
      <c r="B18" s="14" t="s">
        <v>51</v>
      </c>
      <c r="C18" s="15" t="s">
        <v>52</v>
      </c>
      <c r="D18" s="304" t="s">
        <v>53</v>
      </c>
      <c r="E18" s="7"/>
      <c r="F18" s="117"/>
      <c r="G18" s="117"/>
    </row>
    <row r="19" spans="1:7" ht="409.6" x14ac:dyDescent="0.2">
      <c r="A19" s="8"/>
      <c r="B19" s="14" t="s">
        <v>54</v>
      </c>
      <c r="C19" s="15" t="s">
        <v>55</v>
      </c>
      <c r="D19" s="305" t="s">
        <v>798</v>
      </c>
      <c r="E19" s="7"/>
      <c r="F19" s="117"/>
      <c r="G19" s="117"/>
    </row>
    <row r="20" spans="1:7" ht="409.6" x14ac:dyDescent="0.2">
      <c r="A20" s="8"/>
      <c r="B20" s="14" t="s">
        <v>56</v>
      </c>
      <c r="C20" s="15" t="s">
        <v>57</v>
      </c>
      <c r="D20" s="305" t="s">
        <v>799</v>
      </c>
      <c r="E20" s="7"/>
      <c r="F20" s="117"/>
      <c r="G20" s="117"/>
    </row>
    <row r="21" spans="1:7" ht="409.6" x14ac:dyDescent="0.2">
      <c r="A21" s="8"/>
      <c r="B21" s="14" t="s">
        <v>58</v>
      </c>
      <c r="C21" s="15" t="s">
        <v>59</v>
      </c>
      <c r="D21" s="305" t="s">
        <v>800</v>
      </c>
      <c r="E21" s="7"/>
      <c r="F21" s="117"/>
      <c r="G21" s="117"/>
    </row>
    <row r="22" spans="1:7" ht="409.6" x14ac:dyDescent="0.2">
      <c r="A22" s="8"/>
      <c r="B22" s="14" t="s">
        <v>60</v>
      </c>
      <c r="C22" s="15" t="s">
        <v>61</v>
      </c>
      <c r="D22" s="305" t="s">
        <v>801</v>
      </c>
      <c r="E22" s="7"/>
      <c r="F22" s="117"/>
      <c r="G22" s="117"/>
    </row>
    <row r="23" spans="1:7" ht="409.6" x14ac:dyDescent="0.2">
      <c r="A23" s="8"/>
      <c r="B23" s="14" t="s">
        <v>62</v>
      </c>
      <c r="C23" s="15" t="s">
        <v>63</v>
      </c>
      <c r="D23" s="305" t="s">
        <v>802</v>
      </c>
      <c r="E23" s="7"/>
      <c r="F23" s="117"/>
      <c r="G23" s="117"/>
    </row>
    <row r="24" spans="1:7" ht="409.6" x14ac:dyDescent="0.2">
      <c r="A24" s="8"/>
      <c r="B24" s="14" t="s">
        <v>64</v>
      </c>
      <c r="C24" s="15" t="s">
        <v>65</v>
      </c>
      <c r="D24" s="305" t="s">
        <v>803</v>
      </c>
      <c r="E24" s="7"/>
      <c r="F24" s="117"/>
      <c r="G24" s="117"/>
    </row>
    <row r="25" spans="1:7" ht="409.6" x14ac:dyDescent="0.2">
      <c r="A25" s="8"/>
      <c r="B25" s="14" t="s">
        <v>66</v>
      </c>
      <c r="C25" s="15" t="s">
        <v>67</v>
      </c>
      <c r="D25" s="305" t="s">
        <v>804</v>
      </c>
      <c r="E25" s="7"/>
      <c r="F25" s="117"/>
      <c r="G25" s="117"/>
    </row>
  </sheetData>
  <mergeCells count="3">
    <mergeCell ref="B3:D3"/>
    <mergeCell ref="B2:D2"/>
    <mergeCell ref="B7:I7"/>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3"/>
  </sheetPr>
  <dimension ref="A1:Q24"/>
  <sheetViews>
    <sheetView showGridLines="0" tabSelected="1" zoomScale="108" zoomScaleNormal="108" workbookViewId="0">
      <pane xSplit="1" ySplit="3" topLeftCell="B4" activePane="bottomRight" state="frozen"/>
      <selection pane="topRight"/>
      <selection pane="bottomLeft"/>
      <selection pane="bottomRight" activeCell="E10" sqref="E10"/>
    </sheetView>
  </sheetViews>
  <sheetFormatPr baseColWidth="10" defaultColWidth="8.6640625" defaultRowHeight="19" x14ac:dyDescent="0.25"/>
  <cols>
    <col min="1" max="1" width="2.5" style="1" customWidth="1"/>
    <col min="2" max="2" width="10" style="1" customWidth="1"/>
    <col min="3" max="3" width="18" style="1" customWidth="1"/>
    <col min="4" max="4" width="25.6640625" style="1" customWidth="1"/>
    <col min="5" max="5" width="24" style="1" customWidth="1"/>
    <col min="6" max="6" width="20" style="1" customWidth="1"/>
    <col min="7" max="7" width="22" style="1" customWidth="1"/>
    <col min="8" max="8" width="30" style="1" customWidth="1"/>
    <col min="9" max="9" width="34" style="28" customWidth="1"/>
    <col min="10" max="17" width="8.6640625" style="28"/>
    <col min="18" max="16384" width="8.6640625" style="1"/>
  </cols>
  <sheetData>
    <row r="1" spans="1:15" x14ac:dyDescent="0.25">
      <c r="A1" s="11"/>
      <c r="B1" s="11"/>
      <c r="C1" s="11"/>
      <c r="D1" s="11"/>
      <c r="E1" s="11"/>
      <c r="F1" s="11"/>
      <c r="G1" s="11"/>
      <c r="H1" s="11"/>
      <c r="I1" s="17"/>
      <c r="J1" s="17"/>
      <c r="K1" s="17"/>
      <c r="L1" s="25"/>
      <c r="M1" s="25"/>
      <c r="N1" s="25"/>
      <c r="O1" s="25"/>
    </row>
    <row r="2" spans="1:15" ht="19.5" customHeight="1" x14ac:dyDescent="0.25">
      <c r="A2" s="8"/>
      <c r="B2" s="151" t="s">
        <v>68</v>
      </c>
      <c r="C2" s="152"/>
      <c r="D2" s="152"/>
      <c r="E2" s="152"/>
      <c r="F2" s="152"/>
      <c r="G2" s="152"/>
      <c r="H2" s="152"/>
      <c r="I2" s="152"/>
      <c r="J2" s="25"/>
      <c r="K2" s="25"/>
      <c r="L2" s="25"/>
      <c r="M2" s="25"/>
      <c r="N2" s="25"/>
      <c r="O2" s="25"/>
    </row>
    <row r="3" spans="1:15" ht="47.5" customHeight="1" x14ac:dyDescent="0.25">
      <c r="A3" s="8"/>
      <c r="B3" s="161" t="s">
        <v>69</v>
      </c>
      <c r="C3" s="162"/>
      <c r="D3" s="162"/>
      <c r="E3" s="162"/>
      <c r="F3" s="162"/>
      <c r="G3" s="162"/>
      <c r="H3" s="162"/>
      <c r="I3" s="163"/>
      <c r="J3" s="25"/>
      <c r="K3" s="25"/>
      <c r="L3" s="25"/>
      <c r="M3" s="25"/>
      <c r="N3" s="25"/>
      <c r="O3" s="25"/>
    </row>
    <row r="4" spans="1:15" x14ac:dyDescent="0.25">
      <c r="A4" s="11"/>
      <c r="B4" s="11"/>
      <c r="C4" s="11"/>
      <c r="D4" s="11"/>
      <c r="E4" s="11"/>
      <c r="F4" s="11"/>
      <c r="G4" s="11"/>
      <c r="H4" s="11"/>
      <c r="I4" s="17"/>
      <c r="J4" s="17"/>
      <c r="K4" s="17"/>
      <c r="L4" s="25"/>
      <c r="M4" s="25"/>
      <c r="N4" s="25"/>
      <c r="O4" s="25"/>
    </row>
    <row r="5" spans="1:15" x14ac:dyDescent="0.25">
      <c r="A5" s="8"/>
      <c r="B5" s="167" t="s">
        <v>70</v>
      </c>
      <c r="C5" s="157"/>
      <c r="D5" s="157"/>
      <c r="E5" s="157"/>
      <c r="F5" s="157"/>
      <c r="G5" s="157"/>
      <c r="H5" s="157"/>
      <c r="I5" s="157"/>
      <c r="J5" s="25"/>
      <c r="K5" s="25"/>
      <c r="L5" s="25"/>
      <c r="M5" s="25"/>
      <c r="N5" s="25"/>
      <c r="O5" s="25"/>
    </row>
    <row r="6" spans="1:15" x14ac:dyDescent="0.25">
      <c r="A6" s="17"/>
      <c r="B6" s="160"/>
      <c r="C6" s="160"/>
      <c r="D6" s="160"/>
      <c r="E6" s="160"/>
      <c r="F6" s="160"/>
      <c r="G6" s="160"/>
      <c r="H6" s="160"/>
      <c r="I6" s="160"/>
      <c r="J6" s="17"/>
      <c r="K6" s="17"/>
      <c r="L6" s="17"/>
      <c r="M6" s="17"/>
      <c r="N6" s="17"/>
      <c r="O6" s="17"/>
    </row>
    <row r="7" spans="1:15" ht="35.5" customHeight="1" x14ac:dyDescent="0.25">
      <c r="A7" s="17"/>
      <c r="B7" s="169" t="s">
        <v>71</v>
      </c>
      <c r="C7" s="169"/>
      <c r="D7" s="169"/>
      <c r="E7" s="169"/>
      <c r="F7" s="169"/>
      <c r="G7" s="169"/>
      <c r="H7" s="169"/>
      <c r="I7" s="170"/>
      <c r="J7" s="17"/>
      <c r="K7" s="17"/>
      <c r="L7" s="25"/>
      <c r="M7" s="25"/>
      <c r="N7" s="25"/>
      <c r="O7" s="25"/>
    </row>
    <row r="8" spans="1:15" ht="32" x14ac:dyDescent="0.25">
      <c r="A8" s="8"/>
      <c r="B8" s="9" t="s">
        <v>3</v>
      </c>
      <c r="C8" s="9" t="s">
        <v>72</v>
      </c>
      <c r="D8" s="9" t="s">
        <v>73</v>
      </c>
      <c r="E8" s="9" t="s">
        <v>74</v>
      </c>
      <c r="F8" s="9" t="s">
        <v>75</v>
      </c>
      <c r="G8" s="9" t="s">
        <v>76</v>
      </c>
      <c r="H8" s="9" t="s">
        <v>77</v>
      </c>
      <c r="I8" s="27" t="s">
        <v>78</v>
      </c>
      <c r="J8" s="25"/>
      <c r="K8" s="25"/>
      <c r="L8" s="25"/>
      <c r="M8" s="25"/>
      <c r="N8" s="25"/>
      <c r="O8" s="25"/>
    </row>
    <row r="9" spans="1:15" x14ac:dyDescent="0.25">
      <c r="A9" s="11"/>
      <c r="B9" s="11"/>
      <c r="C9" s="11"/>
      <c r="D9" s="11"/>
      <c r="E9" s="11"/>
      <c r="F9" s="11"/>
      <c r="G9" s="11"/>
      <c r="H9" s="11"/>
      <c r="I9" s="17"/>
      <c r="J9" s="17"/>
      <c r="K9" s="17"/>
      <c r="L9" s="17"/>
      <c r="M9" s="17"/>
      <c r="N9" s="17"/>
      <c r="O9" s="25"/>
    </row>
    <row r="10" spans="1:15" ht="409.6" x14ac:dyDescent="0.25">
      <c r="A10" s="8"/>
      <c r="B10" s="14" t="s">
        <v>79</v>
      </c>
      <c r="C10" s="8" t="s">
        <v>80</v>
      </c>
      <c r="D10" s="8" t="s">
        <v>81</v>
      </c>
      <c r="E10" s="139" t="s">
        <v>82</v>
      </c>
      <c r="F10" s="8" t="s">
        <v>83</v>
      </c>
      <c r="G10" s="139" t="s">
        <v>84</v>
      </c>
      <c r="H10" s="8" t="s">
        <v>85</v>
      </c>
      <c r="I10" s="8" t="s">
        <v>86</v>
      </c>
      <c r="J10" s="25"/>
      <c r="K10" s="25"/>
      <c r="L10" s="25"/>
      <c r="M10" s="25"/>
      <c r="N10" s="25"/>
      <c r="O10" s="25"/>
    </row>
    <row r="11" spans="1:15" ht="288" x14ac:dyDescent="0.25">
      <c r="A11" s="8"/>
      <c r="B11" s="14" t="s">
        <v>87</v>
      </c>
      <c r="C11" s="8" t="s">
        <v>88</v>
      </c>
      <c r="D11" s="8" t="s">
        <v>89</v>
      </c>
      <c r="E11" s="8" t="s">
        <v>90</v>
      </c>
      <c r="F11" s="8" t="s">
        <v>91</v>
      </c>
      <c r="G11" s="139" t="s">
        <v>92</v>
      </c>
      <c r="H11" s="8" t="s">
        <v>93</v>
      </c>
      <c r="I11" s="8" t="s">
        <v>94</v>
      </c>
      <c r="J11" s="25"/>
      <c r="K11" s="25"/>
      <c r="L11" s="25"/>
      <c r="M11" s="25"/>
      <c r="N11" s="25"/>
      <c r="O11" s="25"/>
    </row>
    <row r="12" spans="1:15" ht="272" x14ac:dyDescent="0.25">
      <c r="A12" s="8"/>
      <c r="B12" s="14" t="s">
        <v>95</v>
      </c>
      <c r="C12" s="8" t="s">
        <v>96</v>
      </c>
      <c r="D12" s="8" t="s">
        <v>97</v>
      </c>
      <c r="E12" s="8" t="s">
        <v>98</v>
      </c>
      <c r="F12" s="8" t="s">
        <v>83</v>
      </c>
      <c r="G12" s="8" t="s">
        <v>99</v>
      </c>
      <c r="H12" s="8" t="s">
        <v>100</v>
      </c>
      <c r="I12" s="8" t="s">
        <v>101</v>
      </c>
      <c r="J12" s="25"/>
      <c r="K12" s="25"/>
      <c r="L12" s="25"/>
      <c r="M12" s="25"/>
      <c r="N12" s="25"/>
      <c r="O12" s="25"/>
    </row>
    <row r="13" spans="1:15" x14ac:dyDescent="0.25">
      <c r="A13" s="11"/>
      <c r="B13" s="158"/>
      <c r="C13" s="159"/>
      <c r="D13" s="159"/>
      <c r="E13" s="159"/>
      <c r="F13" s="159"/>
      <c r="G13" s="159"/>
      <c r="H13" s="159"/>
      <c r="I13" s="159"/>
      <c r="J13" s="17"/>
      <c r="K13" s="17"/>
      <c r="L13" s="25"/>
      <c r="M13" s="25"/>
      <c r="N13" s="25"/>
      <c r="O13" s="25"/>
    </row>
    <row r="14" spans="1:15" x14ac:dyDescent="0.25">
      <c r="A14" s="8"/>
      <c r="B14" s="168" t="s">
        <v>102</v>
      </c>
      <c r="C14" s="159"/>
      <c r="D14" s="159"/>
      <c r="E14" s="159"/>
      <c r="F14" s="159"/>
      <c r="G14" s="159"/>
      <c r="H14" s="159"/>
      <c r="I14" s="159"/>
      <c r="J14" s="25"/>
      <c r="K14" s="25"/>
      <c r="L14" s="25"/>
      <c r="M14" s="25"/>
      <c r="N14" s="25"/>
      <c r="O14" s="25"/>
    </row>
    <row r="15" spans="1:15" x14ac:dyDescent="0.25">
      <c r="A15" s="17"/>
      <c r="B15" s="56"/>
      <c r="C15" s="57"/>
      <c r="D15" s="57"/>
      <c r="E15" s="57"/>
      <c r="F15" s="57"/>
      <c r="G15" s="57"/>
      <c r="H15" s="57"/>
      <c r="I15" s="17"/>
      <c r="J15" s="17"/>
      <c r="K15" s="17"/>
      <c r="L15" s="17"/>
      <c r="M15" s="17"/>
      <c r="N15" s="25"/>
      <c r="O15" s="25"/>
    </row>
    <row r="16" spans="1:15" x14ac:dyDescent="0.25">
      <c r="A16" s="26"/>
      <c r="B16" s="164" t="s">
        <v>103</v>
      </c>
      <c r="C16" s="165"/>
      <c r="D16" s="165"/>
      <c r="E16" s="165"/>
      <c r="F16" s="165"/>
      <c r="G16" s="165"/>
      <c r="H16" s="165"/>
      <c r="I16" s="166"/>
      <c r="J16" s="25"/>
      <c r="K16" s="25"/>
      <c r="L16" s="25"/>
      <c r="M16" s="25"/>
      <c r="N16" s="25"/>
      <c r="O16" s="25"/>
    </row>
    <row r="17" spans="1:15" x14ac:dyDescent="0.25">
      <c r="A17" s="11"/>
      <c r="B17" s="17"/>
      <c r="C17" s="17"/>
      <c r="D17" s="17"/>
      <c r="E17" s="17"/>
      <c r="F17" s="17"/>
      <c r="G17" s="17"/>
      <c r="H17" s="17"/>
      <c r="I17" s="17"/>
      <c r="J17" s="17"/>
      <c r="K17" s="17"/>
      <c r="L17" s="25"/>
      <c r="M17" s="25"/>
      <c r="N17" s="25"/>
      <c r="O17" s="25"/>
    </row>
    <row r="18" spans="1:15" x14ac:dyDescent="0.25">
      <c r="A18" s="8"/>
      <c r="B18" s="9" t="s">
        <v>3</v>
      </c>
      <c r="C18" s="9" t="s">
        <v>104</v>
      </c>
      <c r="D18" s="9" t="s">
        <v>105</v>
      </c>
      <c r="E18" s="9" t="s">
        <v>106</v>
      </c>
      <c r="F18" s="9" t="s">
        <v>107</v>
      </c>
      <c r="G18" s="9" t="s">
        <v>108</v>
      </c>
      <c r="H18" s="25"/>
      <c r="I18" s="25"/>
      <c r="J18" s="25"/>
      <c r="K18" s="25"/>
      <c r="L18" s="25"/>
      <c r="M18" s="25"/>
    </row>
    <row r="19" spans="1:15" ht="12" customHeight="1" x14ac:dyDescent="0.25">
      <c r="A19" s="11"/>
      <c r="B19" s="11"/>
      <c r="C19" s="11"/>
      <c r="D19" s="11"/>
      <c r="E19" s="11"/>
      <c r="F19" s="11"/>
      <c r="G19" s="11"/>
      <c r="H19" s="11"/>
      <c r="I19" s="17"/>
      <c r="J19" s="17"/>
      <c r="K19" s="17"/>
      <c r="L19" s="17"/>
      <c r="M19" s="25"/>
      <c r="N19" s="25"/>
      <c r="O19" s="25"/>
    </row>
    <row r="20" spans="1:15" ht="64" x14ac:dyDescent="0.25">
      <c r="A20" s="8"/>
      <c r="B20" s="14" t="s">
        <v>79</v>
      </c>
      <c r="C20" s="8" t="s">
        <v>109</v>
      </c>
      <c r="D20" s="8" t="s">
        <v>110</v>
      </c>
      <c r="E20" s="61" t="s">
        <v>111</v>
      </c>
      <c r="F20" s="8" t="s">
        <v>112</v>
      </c>
      <c r="G20" s="38"/>
      <c r="H20" s="25"/>
      <c r="I20" s="25"/>
      <c r="J20" s="25"/>
      <c r="K20" s="25"/>
      <c r="L20" s="25"/>
      <c r="M20" s="25"/>
      <c r="N20" s="25"/>
      <c r="O20" s="25"/>
    </row>
    <row r="21" spans="1:15" ht="64" x14ac:dyDescent="0.25">
      <c r="A21" s="8"/>
      <c r="B21" s="14" t="s">
        <v>87</v>
      </c>
      <c r="C21" s="8" t="s">
        <v>96</v>
      </c>
      <c r="D21" s="8" t="s">
        <v>110</v>
      </c>
      <c r="E21" s="61" t="s">
        <v>111</v>
      </c>
      <c r="F21" s="8" t="s">
        <v>113</v>
      </c>
      <c r="G21" s="38"/>
      <c r="H21" s="25"/>
      <c r="I21" s="25"/>
      <c r="J21" s="25"/>
      <c r="K21" s="25"/>
      <c r="L21" s="25"/>
      <c r="M21" s="25"/>
      <c r="N21" s="25"/>
      <c r="O21" s="25"/>
    </row>
    <row r="22" spans="1:15" ht="64" x14ac:dyDescent="0.25">
      <c r="A22" s="8"/>
      <c r="B22" s="14" t="s">
        <v>95</v>
      </c>
      <c r="C22" s="8" t="s">
        <v>114</v>
      </c>
      <c r="D22" s="8" t="s">
        <v>115</v>
      </c>
      <c r="E22" s="61" t="s">
        <v>111</v>
      </c>
      <c r="F22" s="8" t="s">
        <v>112</v>
      </c>
      <c r="G22" s="38"/>
      <c r="H22" s="25"/>
      <c r="I22" s="25"/>
      <c r="J22" s="25"/>
      <c r="K22" s="25"/>
      <c r="L22" s="25"/>
      <c r="M22" s="25"/>
      <c r="N22" s="25"/>
      <c r="O22" s="25"/>
    </row>
    <row r="24" spans="1:15" x14ac:dyDescent="0.25">
      <c r="A24" s="28"/>
      <c r="B24" s="28"/>
      <c r="C24" s="140"/>
      <c r="D24" s="28"/>
      <c r="E24" s="28"/>
      <c r="F24" s="28"/>
      <c r="G24" s="28"/>
      <c r="H24" s="28"/>
    </row>
  </sheetData>
  <mergeCells count="8">
    <mergeCell ref="B13:I13"/>
    <mergeCell ref="B6:I6"/>
    <mergeCell ref="B2:I2"/>
    <mergeCell ref="B3:I3"/>
    <mergeCell ref="B16:I16"/>
    <mergeCell ref="B5:I5"/>
    <mergeCell ref="B14:I14"/>
    <mergeCell ref="B7:I7"/>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3"/>
  </sheetPr>
  <dimension ref="A1:M121"/>
  <sheetViews>
    <sheetView showGridLines="0" zoomScaleNormal="100" workbookViewId="0">
      <pane xSplit="1" ySplit="4" topLeftCell="B106" activePane="bottomRight" state="frozen"/>
      <selection pane="topRight"/>
      <selection pane="bottomLeft"/>
      <selection pane="bottomRight" activeCell="E38" sqref="E38"/>
    </sheetView>
  </sheetViews>
  <sheetFormatPr baseColWidth="10" defaultColWidth="8.83203125" defaultRowHeight="15" x14ac:dyDescent="0.2"/>
  <cols>
    <col min="1" max="1" width="2.5" customWidth="1"/>
    <col min="2" max="2" width="48.5" bestFit="1" customWidth="1"/>
    <col min="3" max="3" width="40.5" customWidth="1"/>
    <col min="4" max="4" width="34.5" customWidth="1"/>
    <col min="5" max="5" width="75.33203125" customWidth="1"/>
    <col min="6" max="6" width="40.83203125" customWidth="1"/>
    <col min="7" max="7" width="16.5" customWidth="1"/>
    <col min="8" max="22" width="17.6640625" customWidth="1"/>
  </cols>
  <sheetData>
    <row r="1" spans="2:8" ht="20" x14ac:dyDescent="0.25">
      <c r="B1" s="59"/>
      <c r="C1" s="11"/>
      <c r="D1" s="11"/>
      <c r="E1" s="11"/>
      <c r="F1" s="11"/>
      <c r="G1" s="11"/>
      <c r="H1" s="11"/>
    </row>
    <row r="2" spans="2:8" ht="20" x14ac:dyDescent="0.25">
      <c r="B2" s="171" t="s">
        <v>116</v>
      </c>
      <c r="C2" s="171"/>
      <c r="D2" s="171"/>
      <c r="E2" s="171"/>
      <c r="F2" s="171"/>
      <c r="G2" s="171"/>
      <c r="H2" s="58"/>
    </row>
    <row r="3" spans="2:8" ht="36" customHeight="1" x14ac:dyDescent="0.2">
      <c r="B3" s="177" t="s">
        <v>117</v>
      </c>
      <c r="C3" s="177"/>
      <c r="D3" s="177"/>
      <c r="E3" s="177"/>
      <c r="F3" s="177"/>
      <c r="G3" s="178"/>
      <c r="H3" s="23"/>
    </row>
    <row r="4" spans="2:8" x14ac:dyDescent="0.2">
      <c r="B4" s="11"/>
      <c r="C4" s="11"/>
      <c r="D4" s="11"/>
      <c r="E4" s="11"/>
      <c r="F4" s="11"/>
      <c r="G4" s="11"/>
      <c r="H4" s="11"/>
    </row>
    <row r="5" spans="2:8" x14ac:dyDescent="0.2">
      <c r="B5" s="17"/>
      <c r="C5" s="18"/>
      <c r="D5" s="18"/>
      <c r="E5" s="18"/>
      <c r="F5" s="18"/>
      <c r="G5" s="18"/>
      <c r="H5" s="18"/>
    </row>
    <row r="6" spans="2:8" x14ac:dyDescent="0.2">
      <c r="B6" s="176" t="s">
        <v>118</v>
      </c>
      <c r="C6" s="176"/>
      <c r="D6" s="176"/>
      <c r="E6" s="176"/>
      <c r="F6" s="176"/>
      <c r="G6" s="176"/>
      <c r="H6" s="7"/>
    </row>
    <row r="7" spans="2:8" x14ac:dyDescent="0.2">
      <c r="B7" s="11"/>
      <c r="C7" s="11"/>
      <c r="D7" s="11"/>
      <c r="E7" s="11"/>
      <c r="F7" s="11"/>
      <c r="G7" s="49"/>
      <c r="H7" s="11"/>
    </row>
    <row r="8" spans="2:8" ht="29.5" customHeight="1" x14ac:dyDescent="0.2">
      <c r="B8" s="179" t="s">
        <v>119</v>
      </c>
      <c r="C8" s="179"/>
      <c r="D8" s="179"/>
      <c r="E8" s="179"/>
      <c r="F8" s="179"/>
      <c r="G8" s="180"/>
      <c r="H8" s="7"/>
    </row>
    <row r="9" spans="2:8" x14ac:dyDescent="0.2">
      <c r="B9" s="11"/>
      <c r="C9" s="11"/>
      <c r="D9" s="11"/>
      <c r="E9" s="11"/>
      <c r="F9" s="11"/>
      <c r="G9" s="11"/>
      <c r="H9" s="11"/>
    </row>
    <row r="10" spans="2:8" ht="32" x14ac:dyDescent="0.2">
      <c r="B10" s="9" t="s">
        <v>120</v>
      </c>
      <c r="C10" s="9" t="s">
        <v>121</v>
      </c>
      <c r="D10" s="9" t="s">
        <v>122</v>
      </c>
      <c r="E10" s="9" t="s">
        <v>123</v>
      </c>
      <c r="F10" s="9" t="s">
        <v>124</v>
      </c>
      <c r="G10" s="9" t="s">
        <v>125</v>
      </c>
      <c r="H10" s="7"/>
    </row>
    <row r="11" spans="2:8" ht="32" x14ac:dyDescent="0.2">
      <c r="B11" s="4" t="s">
        <v>126</v>
      </c>
      <c r="C11" s="8" t="s">
        <v>127</v>
      </c>
      <c r="D11" s="8" t="s">
        <v>128</v>
      </c>
      <c r="E11" s="8" t="s">
        <v>129</v>
      </c>
      <c r="F11" s="8"/>
      <c r="G11" s="8"/>
      <c r="H11" s="7"/>
    </row>
    <row r="12" spans="2:8" ht="32" x14ac:dyDescent="0.2">
      <c r="B12" s="4" t="s">
        <v>130</v>
      </c>
      <c r="C12" s="8" t="s">
        <v>127</v>
      </c>
      <c r="D12" s="8" t="s">
        <v>128</v>
      </c>
      <c r="E12" s="8"/>
      <c r="F12" s="8"/>
      <c r="G12" s="8"/>
      <c r="H12" s="7"/>
    </row>
    <row r="13" spans="2:8" ht="32" x14ac:dyDescent="0.2">
      <c r="B13" s="4" t="s">
        <v>131</v>
      </c>
      <c r="C13" s="8" t="s">
        <v>127</v>
      </c>
      <c r="D13" s="8" t="s">
        <v>128</v>
      </c>
      <c r="E13" s="8"/>
      <c r="F13" s="8"/>
      <c r="G13" s="8"/>
      <c r="H13" s="7"/>
    </row>
    <row r="14" spans="2:8" ht="32" x14ac:dyDescent="0.2">
      <c r="B14" s="4" t="s">
        <v>132</v>
      </c>
      <c r="C14" s="8" t="s">
        <v>127</v>
      </c>
      <c r="D14" s="8" t="s">
        <v>128</v>
      </c>
      <c r="E14" s="8"/>
      <c r="F14" s="8"/>
      <c r="G14" s="8"/>
      <c r="H14" s="7"/>
    </row>
    <row r="15" spans="2:8" ht="32" x14ac:dyDescent="0.2">
      <c r="B15" s="4" t="s">
        <v>133</v>
      </c>
      <c r="C15" s="8" t="s">
        <v>127</v>
      </c>
      <c r="D15" s="8" t="s">
        <v>128</v>
      </c>
      <c r="E15" s="8"/>
      <c r="F15" s="8"/>
      <c r="G15" s="8"/>
      <c r="H15" s="7"/>
    </row>
    <row r="16" spans="2:8" ht="16" x14ac:dyDescent="0.2">
      <c r="B16" s="4" t="s">
        <v>134</v>
      </c>
      <c r="C16" s="8" t="s">
        <v>127</v>
      </c>
      <c r="D16" s="8" t="s">
        <v>135</v>
      </c>
      <c r="E16" s="8"/>
      <c r="F16" s="8"/>
      <c r="G16" s="8"/>
      <c r="H16" s="7"/>
    </row>
    <row r="17" spans="1:13" s="7" customFormat="1" ht="16" x14ac:dyDescent="0.2">
      <c r="B17" s="4" t="s">
        <v>136</v>
      </c>
      <c r="C17" s="8" t="s">
        <v>127</v>
      </c>
      <c r="D17" s="31" t="s">
        <v>135</v>
      </c>
      <c r="E17" s="31"/>
      <c r="F17" s="31"/>
      <c r="G17" s="31"/>
    </row>
    <row r="18" spans="1:13" s="7" customFormat="1" ht="16" x14ac:dyDescent="0.2">
      <c r="B18" s="4" t="s">
        <v>137</v>
      </c>
      <c r="C18" s="8" t="s">
        <v>127</v>
      </c>
      <c r="D18" s="31" t="s">
        <v>135</v>
      </c>
      <c r="E18" s="31"/>
      <c r="F18" s="31"/>
      <c r="G18" s="31"/>
    </row>
    <row r="20" spans="1:13" x14ac:dyDescent="0.2">
      <c r="A20" s="7"/>
      <c r="B20" s="11"/>
      <c r="C20" s="11"/>
      <c r="D20" s="11"/>
      <c r="E20" s="11"/>
      <c r="F20" s="11"/>
      <c r="G20" s="11"/>
      <c r="H20" s="11"/>
      <c r="I20" s="7"/>
      <c r="J20" s="7"/>
      <c r="K20" s="7"/>
      <c r="L20" s="7"/>
      <c r="M20" s="7"/>
    </row>
    <row r="21" spans="1:13" x14ac:dyDescent="0.2">
      <c r="A21" s="7"/>
      <c r="B21" s="173" t="s">
        <v>138</v>
      </c>
      <c r="C21" s="174"/>
      <c r="D21" s="174"/>
      <c r="E21" s="174"/>
      <c r="F21" s="174"/>
      <c r="G21" s="174"/>
      <c r="H21" s="174"/>
      <c r="I21" s="7"/>
      <c r="J21" s="7"/>
      <c r="K21" s="7"/>
      <c r="L21" s="7"/>
      <c r="M21" s="7"/>
    </row>
    <row r="22" spans="1:13" x14ac:dyDescent="0.2">
      <c r="A22" s="7"/>
      <c r="B22" s="11"/>
      <c r="C22" s="11"/>
      <c r="D22" s="11"/>
      <c r="E22" s="11"/>
      <c r="F22" s="11"/>
      <c r="G22" s="11"/>
      <c r="H22" s="50"/>
      <c r="I22" s="7"/>
      <c r="J22" s="7"/>
      <c r="K22" s="7"/>
      <c r="L22" s="7"/>
      <c r="M22" s="7"/>
    </row>
    <row r="23" spans="1:13" ht="37" customHeight="1" x14ac:dyDescent="0.2">
      <c r="A23" s="7"/>
      <c r="B23" s="155" t="s">
        <v>139</v>
      </c>
      <c r="C23" s="149"/>
      <c r="D23" s="149"/>
      <c r="E23" s="149"/>
      <c r="F23" s="149"/>
      <c r="G23" s="149"/>
      <c r="H23" s="172"/>
      <c r="I23" s="7"/>
      <c r="J23" s="7"/>
      <c r="K23" s="7"/>
      <c r="L23" s="7"/>
      <c r="M23" s="7"/>
    </row>
    <row r="25" spans="1:13" ht="48" x14ac:dyDescent="0.2">
      <c r="A25" s="7"/>
      <c r="B25" s="9" t="s">
        <v>140</v>
      </c>
      <c r="C25" s="9" t="s">
        <v>141</v>
      </c>
      <c r="D25" s="9" t="s">
        <v>142</v>
      </c>
      <c r="E25" s="9" t="s">
        <v>143</v>
      </c>
      <c r="F25" s="9" t="s">
        <v>144</v>
      </c>
      <c r="G25" s="9" t="s">
        <v>145</v>
      </c>
      <c r="H25" s="9" t="s">
        <v>146</v>
      </c>
      <c r="I25" s="7"/>
      <c r="J25" s="7"/>
      <c r="K25" s="7"/>
      <c r="L25" s="7"/>
      <c r="M25" s="7"/>
    </row>
    <row r="26" spans="1:13" ht="16" x14ac:dyDescent="0.2">
      <c r="A26" s="7"/>
      <c r="B26" s="19" t="s">
        <v>147</v>
      </c>
      <c r="C26" s="20" t="s">
        <v>148</v>
      </c>
      <c r="D26" s="29" t="s">
        <v>149</v>
      </c>
      <c r="E26" s="29" t="s">
        <v>150</v>
      </c>
      <c r="F26" s="29" t="s">
        <v>151</v>
      </c>
      <c r="G26" s="30">
        <v>0</v>
      </c>
      <c r="H26" s="306" t="s">
        <v>805</v>
      </c>
      <c r="I26" s="7"/>
      <c r="J26" s="7"/>
      <c r="K26" s="7"/>
      <c r="L26" s="7"/>
      <c r="M26" s="7"/>
    </row>
    <row r="27" spans="1:13" ht="16" x14ac:dyDescent="0.2">
      <c r="A27" s="7"/>
      <c r="B27" s="19" t="s">
        <v>152</v>
      </c>
      <c r="C27" s="20" t="s">
        <v>148</v>
      </c>
      <c r="D27" s="29" t="s">
        <v>149</v>
      </c>
      <c r="E27" s="29" t="s">
        <v>150</v>
      </c>
      <c r="F27" s="29" t="s">
        <v>151</v>
      </c>
      <c r="G27" s="30">
        <v>0</v>
      </c>
      <c r="H27" s="307"/>
      <c r="I27" s="7"/>
      <c r="J27" s="7"/>
      <c r="K27" s="7"/>
      <c r="L27" s="7"/>
      <c r="M27" s="7"/>
    </row>
    <row r="28" spans="1:13" ht="16" x14ac:dyDescent="0.2">
      <c r="A28" s="7"/>
      <c r="B28" s="19" t="s">
        <v>153</v>
      </c>
      <c r="C28" s="20" t="s">
        <v>154</v>
      </c>
      <c r="D28" s="29" t="s">
        <v>149</v>
      </c>
      <c r="E28" s="29" t="s">
        <v>155</v>
      </c>
      <c r="F28" s="29" t="s">
        <v>156</v>
      </c>
      <c r="G28" s="113">
        <v>122</v>
      </c>
      <c r="H28" s="307"/>
      <c r="I28" s="7"/>
      <c r="J28" s="7"/>
      <c r="K28" s="7"/>
      <c r="L28" s="7"/>
      <c r="M28" s="7"/>
    </row>
    <row r="29" spans="1:13" ht="16" x14ac:dyDescent="0.2">
      <c r="A29" s="7"/>
      <c r="B29" s="19" t="s">
        <v>157</v>
      </c>
      <c r="C29" s="20" t="s">
        <v>158</v>
      </c>
      <c r="D29" s="29" t="s">
        <v>127</v>
      </c>
      <c r="E29" s="29" t="s">
        <v>159</v>
      </c>
      <c r="F29" s="29" t="s">
        <v>160</v>
      </c>
      <c r="G29" s="113">
        <v>878</v>
      </c>
      <c r="H29" s="307"/>
      <c r="I29" s="7"/>
      <c r="J29" s="7"/>
      <c r="K29" s="7"/>
      <c r="L29" s="7"/>
      <c r="M29" s="7"/>
    </row>
    <row r="30" spans="1:13" ht="16" x14ac:dyDescent="0.2">
      <c r="A30" s="7"/>
      <c r="B30" s="19" t="s">
        <v>161</v>
      </c>
      <c r="C30" s="20" t="s">
        <v>158</v>
      </c>
      <c r="D30" s="29" t="s">
        <v>149</v>
      </c>
      <c r="E30" s="29" t="s">
        <v>159</v>
      </c>
      <c r="F30" s="29" t="s">
        <v>151</v>
      </c>
      <c r="G30" s="30">
        <v>0</v>
      </c>
      <c r="H30" s="307"/>
      <c r="I30" s="7"/>
      <c r="J30" s="7"/>
      <c r="K30" s="7"/>
      <c r="L30" s="7"/>
      <c r="M30" s="7"/>
    </row>
    <row r="31" spans="1:13" ht="16" x14ac:dyDescent="0.2">
      <c r="A31" s="7"/>
      <c r="B31" s="19" t="s">
        <v>162</v>
      </c>
      <c r="C31" s="20" t="s">
        <v>158</v>
      </c>
      <c r="D31" s="29" t="s">
        <v>149</v>
      </c>
      <c r="E31" s="29" t="s">
        <v>163</v>
      </c>
      <c r="F31" s="29" t="s">
        <v>151</v>
      </c>
      <c r="G31" s="30">
        <v>0</v>
      </c>
      <c r="H31" s="307"/>
      <c r="I31" s="7"/>
      <c r="J31" s="7"/>
      <c r="K31" s="7"/>
      <c r="L31" s="7"/>
      <c r="M31" s="7"/>
    </row>
    <row r="32" spans="1:13" s="7" customFormat="1" ht="16" x14ac:dyDescent="0.2">
      <c r="B32" s="19" t="s">
        <v>164</v>
      </c>
      <c r="C32" s="20" t="s">
        <v>158</v>
      </c>
      <c r="D32" s="29" t="s">
        <v>149</v>
      </c>
      <c r="E32" s="29" t="s">
        <v>165</v>
      </c>
      <c r="F32" s="29" t="s">
        <v>151</v>
      </c>
      <c r="G32" s="30">
        <v>0</v>
      </c>
      <c r="H32" s="308"/>
    </row>
    <row r="33" spans="2:13" s="7" customFormat="1" x14ac:dyDescent="0.2">
      <c r="B33" s="11"/>
      <c r="C33" s="32"/>
      <c r="D33" s="34"/>
      <c r="E33" s="34"/>
      <c r="F33" s="34"/>
      <c r="G33" s="35"/>
      <c r="H33" s="34"/>
    </row>
    <row r="34" spans="2:13" x14ac:dyDescent="0.2">
      <c r="B34" s="181" t="s">
        <v>166</v>
      </c>
      <c r="C34" s="182"/>
      <c r="D34" s="182"/>
      <c r="E34" s="182"/>
      <c r="F34" s="182"/>
      <c r="G34" s="182"/>
      <c r="H34" s="182"/>
      <c r="I34" s="7"/>
      <c r="J34" s="7"/>
      <c r="K34" s="7"/>
      <c r="L34" s="7"/>
      <c r="M34" s="7"/>
    </row>
    <row r="35" spans="2:13" s="7" customFormat="1" x14ac:dyDescent="0.2">
      <c r="B35" s="82"/>
      <c r="C35" s="82"/>
      <c r="D35" s="82"/>
      <c r="E35" s="82"/>
      <c r="F35" s="82"/>
      <c r="G35" s="82"/>
      <c r="H35" s="83"/>
    </row>
    <row r="36" spans="2:13" s="7" customFormat="1" x14ac:dyDescent="0.2">
      <c r="B36" s="183" t="s">
        <v>167</v>
      </c>
      <c r="C36" s="184"/>
      <c r="D36" s="184"/>
      <c r="E36" s="184"/>
      <c r="F36" s="184"/>
      <c r="G36" s="184"/>
      <c r="H36" s="185"/>
    </row>
    <row r="37" spans="2:13" s="7" customFormat="1" x14ac:dyDescent="0.2">
      <c r="B37" s="11"/>
      <c r="C37" s="11"/>
      <c r="D37" s="11"/>
      <c r="E37" s="11"/>
      <c r="F37" s="11"/>
      <c r="G37" s="11"/>
      <c r="H37" s="17"/>
    </row>
    <row r="38" spans="2:13" s="7" customFormat="1" x14ac:dyDescent="0.2">
      <c r="B38" s="17"/>
      <c r="C38" s="17"/>
      <c r="D38" s="17"/>
      <c r="E38" s="17"/>
      <c r="F38" s="17"/>
      <c r="G38" s="17"/>
      <c r="H38" s="17"/>
    </row>
    <row r="39" spans="2:13" s="7" customFormat="1" ht="16" x14ac:dyDescent="0.2">
      <c r="B39" s="9" t="s">
        <v>168</v>
      </c>
      <c r="C39" s="9" t="s">
        <v>169</v>
      </c>
      <c r="D39" s="11"/>
      <c r="E39" s="11"/>
      <c r="F39" s="11"/>
      <c r="G39" s="11"/>
      <c r="H39" s="11"/>
    </row>
    <row r="40" spans="2:13" s="7" customFormat="1" ht="16" x14ac:dyDescent="0.2">
      <c r="B40" s="19" t="s">
        <v>170</v>
      </c>
      <c r="C40" s="20" t="s">
        <v>127</v>
      </c>
      <c r="D40" s="11"/>
      <c r="E40" s="11"/>
      <c r="F40" s="11"/>
      <c r="G40" s="11"/>
      <c r="H40" s="11"/>
    </row>
    <row r="41" spans="2:13" s="7" customFormat="1" ht="16" x14ac:dyDescent="0.2">
      <c r="B41" s="19" t="s">
        <v>171</v>
      </c>
      <c r="C41" s="20" t="s">
        <v>127</v>
      </c>
      <c r="D41" s="11"/>
      <c r="E41" s="11"/>
      <c r="F41" s="11"/>
      <c r="G41" s="11"/>
      <c r="H41" s="11"/>
    </row>
    <row r="42" spans="2:13" s="7" customFormat="1" ht="64" x14ac:dyDescent="0.2">
      <c r="B42" s="19" t="s">
        <v>172</v>
      </c>
      <c r="C42" s="20" t="s">
        <v>173</v>
      </c>
      <c r="D42" s="11"/>
      <c r="E42" s="11"/>
      <c r="F42" s="11"/>
      <c r="G42" s="11"/>
      <c r="H42" s="11"/>
    </row>
    <row r="43" spans="2:13" s="7" customFormat="1" ht="32" x14ac:dyDescent="0.2">
      <c r="B43" s="19" t="s">
        <v>174</v>
      </c>
      <c r="C43" s="20" t="s">
        <v>175</v>
      </c>
      <c r="D43" s="11"/>
      <c r="E43" s="11"/>
      <c r="F43" s="11"/>
      <c r="G43" s="11"/>
      <c r="H43" s="11"/>
    </row>
    <row r="44" spans="2:13" s="7" customFormat="1" x14ac:dyDescent="0.2">
      <c r="B44" s="33"/>
      <c r="C44" s="32"/>
      <c r="D44" s="11"/>
      <c r="E44" s="11"/>
      <c r="F44" s="11"/>
      <c r="G44" s="11"/>
      <c r="H44" s="11"/>
    </row>
    <row r="45" spans="2:13" s="7" customFormat="1" x14ac:dyDescent="0.2">
      <c r="B45" s="186" t="s">
        <v>176</v>
      </c>
      <c r="C45" s="187"/>
      <c r="D45" s="187"/>
      <c r="E45" s="187"/>
      <c r="F45" s="187"/>
      <c r="G45" s="187"/>
      <c r="H45" s="187"/>
    </row>
    <row r="46" spans="2:13" s="7" customFormat="1" x14ac:dyDescent="0.2">
      <c r="B46" s="82"/>
      <c r="C46" s="82"/>
      <c r="D46" s="82"/>
      <c r="E46" s="82"/>
      <c r="F46" s="82"/>
      <c r="G46" s="82"/>
      <c r="H46" s="83"/>
    </row>
    <row r="47" spans="2:13" s="7" customFormat="1" x14ac:dyDescent="0.2">
      <c r="B47" s="188" t="s">
        <v>177</v>
      </c>
      <c r="C47" s="184"/>
      <c r="D47" s="184"/>
      <c r="E47" s="184"/>
      <c r="F47" s="184"/>
      <c r="G47" s="184"/>
      <c r="H47" s="185"/>
    </row>
    <row r="48" spans="2:13" s="7" customFormat="1" x14ac:dyDescent="0.2">
      <c r="B48" s="33"/>
      <c r="C48" s="32"/>
      <c r="D48" s="17"/>
      <c r="E48" s="17"/>
      <c r="F48" s="17"/>
      <c r="G48" s="17"/>
      <c r="H48" s="17"/>
    </row>
    <row r="49" spans="2:13" s="7" customFormat="1" ht="25" customHeight="1" x14ac:dyDescent="0.2">
      <c r="B49" s="9" t="s">
        <v>178</v>
      </c>
      <c r="C49" s="9" t="s">
        <v>179</v>
      </c>
      <c r="D49" s="9" t="s">
        <v>180</v>
      </c>
      <c r="E49" s="11"/>
      <c r="F49" s="11"/>
      <c r="G49" s="11"/>
      <c r="H49" s="11"/>
    </row>
    <row r="50" spans="2:13" s="7" customFormat="1" ht="128" x14ac:dyDescent="0.2">
      <c r="B50" s="19" t="s">
        <v>181</v>
      </c>
      <c r="C50" s="20" t="s">
        <v>182</v>
      </c>
      <c r="D50" s="20" t="s">
        <v>183</v>
      </c>
      <c r="E50" s="11"/>
      <c r="F50" s="11"/>
      <c r="G50" s="11"/>
      <c r="H50" s="11"/>
    </row>
    <row r="51" spans="2:13" s="7" customFormat="1" ht="128" x14ac:dyDescent="0.2">
      <c r="B51" s="19" t="s">
        <v>184</v>
      </c>
      <c r="C51" s="20" t="s">
        <v>182</v>
      </c>
      <c r="D51" s="20" t="s">
        <v>183</v>
      </c>
      <c r="E51" s="11"/>
      <c r="F51" s="11"/>
      <c r="G51" s="11"/>
      <c r="H51" s="11"/>
    </row>
    <row r="52" spans="2:13" s="7" customFormat="1" ht="128" x14ac:dyDescent="0.2">
      <c r="B52" s="19" t="s">
        <v>185</v>
      </c>
      <c r="C52" s="20" t="s">
        <v>182</v>
      </c>
      <c r="D52" s="20" t="s">
        <v>183</v>
      </c>
      <c r="E52" s="11"/>
      <c r="F52" s="11"/>
      <c r="G52" s="11"/>
      <c r="H52" s="11"/>
    </row>
    <row r="53" spans="2:13" s="7" customFormat="1" ht="128" x14ac:dyDescent="0.2">
      <c r="B53" s="19" t="s">
        <v>186</v>
      </c>
      <c r="C53" s="20" t="s">
        <v>182</v>
      </c>
      <c r="D53" s="20" t="s">
        <v>183</v>
      </c>
      <c r="E53" s="11"/>
      <c r="F53" s="11"/>
      <c r="G53" s="11"/>
      <c r="H53" s="11"/>
    </row>
    <row r="54" spans="2:13" s="7" customFormat="1" x14ac:dyDescent="0.2">
      <c r="B54" s="33"/>
      <c r="C54" s="32"/>
      <c r="D54" s="32"/>
      <c r="E54" s="11"/>
      <c r="F54" s="11"/>
      <c r="G54" s="11"/>
      <c r="H54" s="11"/>
    </row>
    <row r="55" spans="2:13" s="7" customFormat="1" x14ac:dyDescent="0.2">
      <c r="B55" s="189" t="s">
        <v>187</v>
      </c>
      <c r="C55" s="190"/>
      <c r="D55" s="190"/>
      <c r="E55" s="190"/>
      <c r="F55" s="190"/>
      <c r="G55" s="190"/>
      <c r="H55" s="190"/>
    </row>
    <row r="56" spans="2:13" s="7" customFormat="1" x14ac:dyDescent="0.2">
      <c r="B56" s="82"/>
      <c r="C56" s="82"/>
      <c r="D56" s="82"/>
      <c r="E56" s="82"/>
      <c r="F56" s="82"/>
      <c r="G56" s="82"/>
      <c r="H56" s="83"/>
    </row>
    <row r="57" spans="2:13" s="7" customFormat="1" x14ac:dyDescent="0.2">
      <c r="B57" s="191" t="s">
        <v>188</v>
      </c>
      <c r="C57" s="192"/>
      <c r="D57" s="192"/>
      <c r="E57" s="192"/>
      <c r="F57" s="192"/>
      <c r="G57" s="192"/>
      <c r="H57" s="193"/>
    </row>
    <row r="58" spans="2:13" ht="21" customHeight="1" x14ac:dyDescent="0.2">
      <c r="B58" s="7"/>
      <c r="C58" s="197" t="s">
        <v>189</v>
      </c>
      <c r="D58" s="198"/>
      <c r="E58" s="198"/>
      <c r="F58" s="198"/>
      <c r="G58" s="198"/>
      <c r="H58" s="198"/>
      <c r="I58" s="198"/>
      <c r="J58" s="7"/>
      <c r="K58" s="7"/>
      <c r="L58" s="7"/>
      <c r="M58" s="7"/>
    </row>
    <row r="59" spans="2:13" s="7" customFormat="1" ht="48" x14ac:dyDescent="0.2">
      <c r="B59" s="9" t="s">
        <v>190</v>
      </c>
      <c r="C59" s="9" t="s">
        <v>147</v>
      </c>
      <c r="D59" s="9" t="s">
        <v>152</v>
      </c>
      <c r="E59" s="9" t="s">
        <v>153</v>
      </c>
      <c r="F59" s="9" t="s">
        <v>157</v>
      </c>
      <c r="G59" s="9" t="s">
        <v>161</v>
      </c>
      <c r="H59" s="9" t="s">
        <v>162</v>
      </c>
      <c r="I59" s="9" t="s">
        <v>164</v>
      </c>
      <c r="J59" s="9" t="s">
        <v>191</v>
      </c>
    </row>
    <row r="60" spans="2:13" s="7" customFormat="1" ht="160" x14ac:dyDescent="0.2">
      <c r="B60" s="19" t="s">
        <v>192</v>
      </c>
      <c r="C60" s="20" t="s">
        <v>149</v>
      </c>
      <c r="D60" s="20" t="s">
        <v>149</v>
      </c>
      <c r="E60" s="20" t="s">
        <v>193</v>
      </c>
      <c r="F60" s="20" t="s">
        <v>127</v>
      </c>
      <c r="G60" s="20" t="s">
        <v>149</v>
      </c>
      <c r="H60" s="20" t="s">
        <v>149</v>
      </c>
      <c r="I60" s="20" t="s">
        <v>149</v>
      </c>
      <c r="J60" s="20" t="s">
        <v>173</v>
      </c>
    </row>
    <row r="61" spans="2:13" s="7" customFormat="1" ht="160" x14ac:dyDescent="0.2">
      <c r="B61" s="19" t="s">
        <v>194</v>
      </c>
      <c r="C61" s="20" t="s">
        <v>149</v>
      </c>
      <c r="D61" s="20" t="s">
        <v>149</v>
      </c>
      <c r="E61" s="20" t="s">
        <v>193</v>
      </c>
      <c r="F61" s="20" t="s">
        <v>127</v>
      </c>
      <c r="G61" s="20" t="s">
        <v>149</v>
      </c>
      <c r="H61" s="20" t="s">
        <v>149</v>
      </c>
      <c r="I61" s="20" t="s">
        <v>149</v>
      </c>
      <c r="J61" s="20" t="s">
        <v>173</v>
      </c>
    </row>
    <row r="62" spans="2:13" s="7" customFormat="1" ht="160" x14ac:dyDescent="0.2">
      <c r="B62" s="19" t="s">
        <v>195</v>
      </c>
      <c r="C62" s="20" t="s">
        <v>149</v>
      </c>
      <c r="D62" s="20" t="s">
        <v>149</v>
      </c>
      <c r="E62" s="20" t="s">
        <v>193</v>
      </c>
      <c r="F62" s="20" t="s">
        <v>127</v>
      </c>
      <c r="G62" s="20" t="s">
        <v>149</v>
      </c>
      <c r="H62" s="20" t="s">
        <v>149</v>
      </c>
      <c r="I62" s="20" t="s">
        <v>149</v>
      </c>
      <c r="J62" s="20" t="s">
        <v>173</v>
      </c>
    </row>
    <row r="63" spans="2:13" s="7" customFormat="1" ht="160" x14ac:dyDescent="0.2">
      <c r="B63" s="19" t="s">
        <v>196</v>
      </c>
      <c r="C63" s="20" t="s">
        <v>149</v>
      </c>
      <c r="D63" s="20" t="s">
        <v>149</v>
      </c>
      <c r="E63" s="20" t="s">
        <v>193</v>
      </c>
      <c r="F63" s="20" t="s">
        <v>127</v>
      </c>
      <c r="G63" s="20" t="s">
        <v>149</v>
      </c>
      <c r="H63" s="20" t="s">
        <v>149</v>
      </c>
      <c r="I63" s="20" t="s">
        <v>149</v>
      </c>
      <c r="J63" s="20" t="s">
        <v>173</v>
      </c>
    </row>
    <row r="64" spans="2:13" s="7" customFormat="1" ht="160" x14ac:dyDescent="0.2">
      <c r="B64" s="19" t="s">
        <v>197</v>
      </c>
      <c r="C64" s="20" t="s">
        <v>149</v>
      </c>
      <c r="D64" s="20" t="s">
        <v>149</v>
      </c>
      <c r="E64" s="20" t="s">
        <v>193</v>
      </c>
      <c r="F64" s="20" t="s">
        <v>127</v>
      </c>
      <c r="G64" s="20" t="s">
        <v>149</v>
      </c>
      <c r="H64" s="20" t="s">
        <v>149</v>
      </c>
      <c r="I64" s="20" t="s">
        <v>149</v>
      </c>
      <c r="J64" s="20" t="s">
        <v>173</v>
      </c>
    </row>
    <row r="65" spans="2:13" s="7" customFormat="1" ht="160" x14ac:dyDescent="0.2">
      <c r="B65" s="19" t="s">
        <v>198</v>
      </c>
      <c r="C65" s="20" t="s">
        <v>149</v>
      </c>
      <c r="D65" s="20" t="s">
        <v>149</v>
      </c>
      <c r="E65" s="20" t="s">
        <v>193</v>
      </c>
      <c r="F65" s="20" t="s">
        <v>127</v>
      </c>
      <c r="G65" s="20" t="s">
        <v>149</v>
      </c>
      <c r="H65" s="20" t="s">
        <v>149</v>
      </c>
      <c r="I65" s="20" t="s">
        <v>149</v>
      </c>
      <c r="J65" s="20" t="s">
        <v>173</v>
      </c>
    </row>
    <row r="66" spans="2:13" s="7" customFormat="1" ht="160" x14ac:dyDescent="0.2">
      <c r="B66" s="19" t="s">
        <v>199</v>
      </c>
      <c r="C66" s="20" t="s">
        <v>149</v>
      </c>
      <c r="D66" s="20" t="s">
        <v>149</v>
      </c>
      <c r="E66" s="20" t="s">
        <v>193</v>
      </c>
      <c r="F66" s="20" t="s">
        <v>127</v>
      </c>
      <c r="G66" s="20" t="s">
        <v>149</v>
      </c>
      <c r="H66" s="20" t="s">
        <v>149</v>
      </c>
      <c r="I66" s="20" t="s">
        <v>149</v>
      </c>
      <c r="J66" s="20" t="s">
        <v>173</v>
      </c>
    </row>
    <row r="67" spans="2:13" s="7" customFormat="1" ht="160" x14ac:dyDescent="0.2">
      <c r="B67" s="19" t="s">
        <v>200</v>
      </c>
      <c r="C67" s="20" t="s">
        <v>149</v>
      </c>
      <c r="D67" s="20" t="s">
        <v>149</v>
      </c>
      <c r="E67" s="20" t="s">
        <v>193</v>
      </c>
      <c r="F67" s="20" t="s">
        <v>127</v>
      </c>
      <c r="G67" s="20" t="s">
        <v>149</v>
      </c>
      <c r="H67" s="20" t="s">
        <v>149</v>
      </c>
      <c r="I67" s="20" t="s">
        <v>149</v>
      </c>
      <c r="J67" s="20" t="s">
        <v>173</v>
      </c>
    </row>
    <row r="68" spans="2:13" s="7" customFormat="1" ht="160" x14ac:dyDescent="0.2">
      <c r="B68" s="19" t="s">
        <v>201</v>
      </c>
      <c r="C68" s="20" t="s">
        <v>149</v>
      </c>
      <c r="D68" s="20" t="s">
        <v>149</v>
      </c>
      <c r="E68" s="20" t="s">
        <v>193</v>
      </c>
      <c r="F68" s="20" t="s">
        <v>127</v>
      </c>
      <c r="G68" s="20" t="s">
        <v>149</v>
      </c>
      <c r="H68" s="20" t="s">
        <v>149</v>
      </c>
      <c r="I68" s="20" t="s">
        <v>149</v>
      </c>
      <c r="J68" s="20" t="s">
        <v>173</v>
      </c>
    </row>
    <row r="69" spans="2:13" s="7" customFormat="1" ht="160" x14ac:dyDescent="0.2">
      <c r="B69" s="19" t="s">
        <v>202</v>
      </c>
      <c r="C69" s="20" t="s">
        <v>149</v>
      </c>
      <c r="D69" s="20" t="s">
        <v>149</v>
      </c>
      <c r="E69" s="20" t="s">
        <v>193</v>
      </c>
      <c r="F69" s="20" t="s">
        <v>127</v>
      </c>
      <c r="G69" s="20" t="s">
        <v>149</v>
      </c>
      <c r="H69" s="20" t="s">
        <v>149</v>
      </c>
      <c r="I69" s="20" t="s">
        <v>149</v>
      </c>
      <c r="J69" s="20" t="s">
        <v>173</v>
      </c>
    </row>
    <row r="70" spans="2:13" s="7" customFormat="1" ht="160" x14ac:dyDescent="0.2">
      <c r="B70" s="19" t="s">
        <v>203</v>
      </c>
      <c r="C70" s="20" t="s">
        <v>149</v>
      </c>
      <c r="D70" s="20" t="s">
        <v>149</v>
      </c>
      <c r="E70" s="20" t="s">
        <v>193</v>
      </c>
      <c r="F70" s="20" t="s">
        <v>127</v>
      </c>
      <c r="G70" s="20" t="s">
        <v>149</v>
      </c>
      <c r="H70" s="20" t="s">
        <v>149</v>
      </c>
      <c r="I70" s="20" t="s">
        <v>149</v>
      </c>
      <c r="J70" s="20" t="s">
        <v>173</v>
      </c>
    </row>
    <row r="71" spans="2:13" s="7" customFormat="1" ht="160" x14ac:dyDescent="0.2">
      <c r="B71" s="19" t="s">
        <v>204</v>
      </c>
      <c r="C71" s="20" t="s">
        <v>149</v>
      </c>
      <c r="D71" s="20" t="s">
        <v>149</v>
      </c>
      <c r="E71" s="20" t="s">
        <v>193</v>
      </c>
      <c r="F71" s="20" t="s">
        <v>127</v>
      </c>
      <c r="G71" s="20" t="s">
        <v>149</v>
      </c>
      <c r="H71" s="20" t="s">
        <v>149</v>
      </c>
      <c r="I71" s="20" t="s">
        <v>149</v>
      </c>
      <c r="J71" s="20" t="s">
        <v>173</v>
      </c>
    </row>
    <row r="72" spans="2:13" s="7" customFormat="1" ht="160" x14ac:dyDescent="0.2">
      <c r="B72" s="19" t="s">
        <v>205</v>
      </c>
      <c r="C72" s="20" t="s">
        <v>149</v>
      </c>
      <c r="D72" s="20" t="s">
        <v>149</v>
      </c>
      <c r="E72" s="20" t="s">
        <v>193</v>
      </c>
      <c r="F72" s="20" t="s">
        <v>127</v>
      </c>
      <c r="G72" s="20" t="s">
        <v>149</v>
      </c>
      <c r="H72" s="20" t="s">
        <v>149</v>
      </c>
      <c r="I72" s="20" t="s">
        <v>149</v>
      </c>
      <c r="J72" s="20" t="s">
        <v>173</v>
      </c>
    </row>
    <row r="73" spans="2:13" s="7" customFormat="1" ht="160" x14ac:dyDescent="0.2">
      <c r="B73" s="19" t="s">
        <v>206</v>
      </c>
      <c r="C73" s="20" t="s">
        <v>149</v>
      </c>
      <c r="D73" s="20" t="s">
        <v>149</v>
      </c>
      <c r="E73" s="20" t="s">
        <v>193</v>
      </c>
      <c r="F73" s="20" t="s">
        <v>127</v>
      </c>
      <c r="G73" s="20" t="s">
        <v>149</v>
      </c>
      <c r="H73" s="20" t="s">
        <v>149</v>
      </c>
      <c r="I73" s="20" t="s">
        <v>149</v>
      </c>
      <c r="J73" s="20" t="s">
        <v>173</v>
      </c>
    </row>
    <row r="74" spans="2:13" s="7" customFormat="1" ht="160" x14ac:dyDescent="0.2">
      <c r="B74" s="19" t="s">
        <v>207</v>
      </c>
      <c r="C74" s="20" t="s">
        <v>149</v>
      </c>
      <c r="D74" s="20" t="s">
        <v>149</v>
      </c>
      <c r="E74" s="20" t="s">
        <v>193</v>
      </c>
      <c r="F74" s="20" t="s">
        <v>127</v>
      </c>
      <c r="G74" s="20" t="s">
        <v>149</v>
      </c>
      <c r="H74" s="20" t="s">
        <v>149</v>
      </c>
      <c r="I74" s="20" t="s">
        <v>149</v>
      </c>
      <c r="J74" s="20" t="s">
        <v>173</v>
      </c>
    </row>
    <row r="75" spans="2:13" s="7" customFormat="1" ht="15" customHeight="1" x14ac:dyDescent="0.2">
      <c r="B75" s="19" t="s">
        <v>208</v>
      </c>
      <c r="C75" s="20" t="s">
        <v>149</v>
      </c>
      <c r="D75" s="20" t="s">
        <v>149</v>
      </c>
      <c r="E75" s="20" t="s">
        <v>193</v>
      </c>
      <c r="F75" s="20" t="s">
        <v>127</v>
      </c>
      <c r="G75" s="20" t="s">
        <v>149</v>
      </c>
      <c r="H75" s="20" t="s">
        <v>149</v>
      </c>
      <c r="I75" s="20" t="s">
        <v>149</v>
      </c>
      <c r="J75" s="20" t="s">
        <v>173</v>
      </c>
    </row>
    <row r="76" spans="2:13" x14ac:dyDescent="0.2">
      <c r="B76" s="11"/>
      <c r="C76" s="11"/>
      <c r="D76" s="11"/>
      <c r="E76" s="11"/>
      <c r="F76" s="11"/>
      <c r="G76" s="11"/>
      <c r="H76" s="11"/>
      <c r="I76" s="7"/>
      <c r="J76" s="7"/>
      <c r="K76" s="7"/>
      <c r="L76" s="7"/>
      <c r="M76" s="7"/>
    </row>
    <row r="77" spans="2:13" x14ac:dyDescent="0.2">
      <c r="B77" s="11"/>
      <c r="C77" s="11"/>
      <c r="D77" s="11"/>
      <c r="E77" s="11"/>
      <c r="F77" s="11"/>
      <c r="G77" s="11"/>
      <c r="H77" s="11"/>
      <c r="I77" s="7"/>
      <c r="J77" s="7"/>
      <c r="K77" s="7"/>
      <c r="L77" s="7"/>
      <c r="M77" s="7"/>
    </row>
    <row r="78" spans="2:13" x14ac:dyDescent="0.2">
      <c r="B78" s="175" t="s">
        <v>209</v>
      </c>
      <c r="C78" s="176"/>
      <c r="D78" s="176"/>
      <c r="E78" s="176"/>
      <c r="F78" s="176"/>
      <c r="G78" s="176"/>
      <c r="H78" s="176"/>
      <c r="I78" s="176"/>
      <c r="J78" s="7"/>
      <c r="K78" s="7"/>
      <c r="L78" s="7"/>
      <c r="M78" s="7"/>
    </row>
    <row r="79" spans="2:13" x14ac:dyDescent="0.2">
      <c r="B79" s="11"/>
      <c r="C79" s="11"/>
      <c r="D79" s="11"/>
      <c r="E79" s="11"/>
      <c r="F79" s="11"/>
      <c r="G79" s="11"/>
      <c r="H79" s="11"/>
      <c r="I79" s="7"/>
      <c r="J79" s="7"/>
      <c r="K79" s="7"/>
      <c r="L79" s="7"/>
      <c r="M79" s="7"/>
    </row>
    <row r="80" spans="2:13" ht="61" customHeight="1" x14ac:dyDescent="0.2">
      <c r="B80" s="199" t="s">
        <v>210</v>
      </c>
      <c r="C80" s="200"/>
      <c r="D80" s="200"/>
      <c r="E80" s="200"/>
      <c r="F80" s="200"/>
      <c r="G80" s="200"/>
      <c r="H80" s="200"/>
      <c r="I80" s="201"/>
      <c r="J80" s="7"/>
      <c r="K80" s="7"/>
      <c r="L80" s="7"/>
      <c r="M80" s="7"/>
    </row>
    <row r="82" spans="2:8" ht="48" x14ac:dyDescent="0.2">
      <c r="B82" s="9" t="s">
        <v>211</v>
      </c>
      <c r="C82" s="9" t="s">
        <v>212</v>
      </c>
      <c r="D82" s="9" t="s">
        <v>213</v>
      </c>
      <c r="E82" s="7"/>
      <c r="F82" s="7"/>
      <c r="G82" s="7"/>
      <c r="H82" s="7"/>
    </row>
    <row r="83" spans="2:8" ht="32" x14ac:dyDescent="0.2">
      <c r="B83" s="19" t="s">
        <v>147</v>
      </c>
      <c r="C83" s="61" t="s">
        <v>214</v>
      </c>
      <c r="D83" s="101">
        <v>0</v>
      </c>
      <c r="E83" s="7"/>
      <c r="F83" s="7"/>
      <c r="G83" s="7"/>
      <c r="H83" s="7"/>
    </row>
    <row r="84" spans="2:8" ht="32" x14ac:dyDescent="0.2">
      <c r="B84" s="19" t="s">
        <v>152</v>
      </c>
      <c r="C84" s="61" t="s">
        <v>214</v>
      </c>
      <c r="D84" s="101">
        <v>0</v>
      </c>
      <c r="E84" s="7"/>
      <c r="F84" s="7"/>
      <c r="G84" s="7"/>
      <c r="H84" s="7"/>
    </row>
    <row r="85" spans="2:8" ht="16" x14ac:dyDescent="0.2">
      <c r="B85" s="19" t="s">
        <v>153</v>
      </c>
      <c r="C85" s="8" t="s">
        <v>215</v>
      </c>
      <c r="D85" s="102">
        <v>1</v>
      </c>
      <c r="E85" s="7"/>
      <c r="F85" s="7"/>
      <c r="G85" s="7"/>
      <c r="H85" s="7"/>
    </row>
    <row r="86" spans="2:8" ht="16" x14ac:dyDescent="0.2">
      <c r="B86" s="19" t="s">
        <v>157</v>
      </c>
      <c r="C86" s="15" t="s">
        <v>157</v>
      </c>
      <c r="D86" s="102">
        <v>1</v>
      </c>
      <c r="E86" s="7"/>
      <c r="F86" s="7"/>
      <c r="G86" s="7"/>
      <c r="H86" s="7"/>
    </row>
    <row r="87" spans="2:8" ht="16" x14ac:dyDescent="0.2">
      <c r="B87" s="19" t="s">
        <v>161</v>
      </c>
      <c r="C87" s="15" t="s">
        <v>157</v>
      </c>
      <c r="D87" s="102">
        <v>0</v>
      </c>
      <c r="E87" s="7"/>
      <c r="F87" s="7"/>
      <c r="G87" s="7"/>
      <c r="H87" s="7"/>
    </row>
    <row r="88" spans="2:8" ht="16" x14ac:dyDescent="0.2">
      <c r="B88" s="19" t="s">
        <v>162</v>
      </c>
      <c r="C88" s="8" t="s">
        <v>216</v>
      </c>
      <c r="D88" s="102">
        <v>0</v>
      </c>
      <c r="E88" s="7"/>
      <c r="F88" s="7"/>
      <c r="G88" s="7"/>
      <c r="H88" s="7"/>
    </row>
    <row r="89" spans="2:8" ht="16" x14ac:dyDescent="0.2">
      <c r="B89" s="19" t="s">
        <v>164</v>
      </c>
      <c r="C89" s="8" t="s">
        <v>216</v>
      </c>
      <c r="D89" s="102">
        <v>0</v>
      </c>
      <c r="E89" s="7"/>
      <c r="F89" s="7"/>
      <c r="G89" s="7"/>
      <c r="H89" s="7"/>
    </row>
    <row r="90" spans="2:8" ht="32" x14ac:dyDescent="0.2">
      <c r="B90" s="19" t="s">
        <v>217</v>
      </c>
      <c r="C90" s="8" t="s">
        <v>218</v>
      </c>
      <c r="D90" s="8"/>
      <c r="E90" s="7"/>
      <c r="F90" s="7"/>
      <c r="G90" s="7"/>
      <c r="H90" s="7"/>
    </row>
    <row r="92" spans="2:8" x14ac:dyDescent="0.2">
      <c r="B92" s="11"/>
      <c r="C92" s="11"/>
      <c r="D92" s="11"/>
      <c r="E92" s="11"/>
      <c r="F92" s="11"/>
      <c r="G92" s="11"/>
      <c r="H92" s="11"/>
    </row>
    <row r="94" spans="2:8" x14ac:dyDescent="0.2">
      <c r="B94" s="175" t="s">
        <v>219</v>
      </c>
      <c r="C94" s="176"/>
      <c r="D94" s="176"/>
      <c r="E94" s="176"/>
      <c r="F94" s="176"/>
      <c r="G94" s="176"/>
      <c r="H94" s="176"/>
    </row>
    <row r="96" spans="2:8" ht="27" customHeight="1" x14ac:dyDescent="0.2">
      <c r="B96" s="194" t="s">
        <v>220</v>
      </c>
      <c r="C96" s="195"/>
      <c r="D96" s="195"/>
      <c r="E96" s="195"/>
      <c r="F96" s="195"/>
      <c r="G96" s="195"/>
      <c r="H96" s="196"/>
    </row>
    <row r="98" spans="2:6" ht="16" x14ac:dyDescent="0.2">
      <c r="B98" s="60" t="s">
        <v>221</v>
      </c>
      <c r="C98" s="9" t="s">
        <v>222</v>
      </c>
      <c r="D98" s="9" t="s">
        <v>223</v>
      </c>
      <c r="E98" s="60" t="s">
        <v>224</v>
      </c>
      <c r="F98" s="60" t="s">
        <v>225</v>
      </c>
    </row>
    <row r="99" spans="2:6" x14ac:dyDescent="0.2">
      <c r="B99" s="64"/>
      <c r="C99" s="64"/>
      <c r="D99" s="64"/>
      <c r="E99" s="64"/>
      <c r="F99" s="64"/>
    </row>
    <row r="100" spans="2:6" ht="16" x14ac:dyDescent="0.2">
      <c r="B100" s="66" t="s">
        <v>221</v>
      </c>
      <c r="C100" s="66" t="s">
        <v>226</v>
      </c>
      <c r="D100" s="66" t="s">
        <v>221</v>
      </c>
      <c r="E100" s="66" t="s">
        <v>227</v>
      </c>
      <c r="F100" s="66" t="s">
        <v>228</v>
      </c>
    </row>
    <row r="101" spans="2:6" ht="167.25" customHeight="1" x14ac:dyDescent="0.2">
      <c r="B101" s="124" t="s">
        <v>229</v>
      </c>
      <c r="C101" s="125" t="s">
        <v>230</v>
      </c>
      <c r="D101" s="125">
        <v>0.8</v>
      </c>
      <c r="E101" s="124" t="s">
        <v>231</v>
      </c>
      <c r="F101" s="111" t="s">
        <v>232</v>
      </c>
    </row>
    <row r="102" spans="2:6" ht="213" customHeight="1" x14ac:dyDescent="0.2">
      <c r="B102" s="124" t="s">
        <v>233</v>
      </c>
      <c r="C102" s="126" t="s">
        <v>234</v>
      </c>
      <c r="D102" s="124" t="s">
        <v>235</v>
      </c>
      <c r="E102" s="124" t="s">
        <v>236</v>
      </c>
      <c r="F102" s="111" t="s">
        <v>237</v>
      </c>
    </row>
    <row r="103" spans="2:6" ht="350" x14ac:dyDescent="0.2">
      <c r="B103" s="124" t="s">
        <v>238</v>
      </c>
      <c r="C103" s="124" t="s">
        <v>239</v>
      </c>
      <c r="D103" s="125" t="s">
        <v>240</v>
      </c>
      <c r="E103" s="124" t="s">
        <v>241</v>
      </c>
      <c r="F103" s="111" t="s">
        <v>242</v>
      </c>
    </row>
    <row r="104" spans="2:6" ht="318.75" customHeight="1" x14ac:dyDescent="0.2">
      <c r="B104" s="124" t="s">
        <v>243</v>
      </c>
      <c r="C104" s="124" t="s">
        <v>244</v>
      </c>
      <c r="D104" s="124" t="s">
        <v>245</v>
      </c>
      <c r="E104" s="124" t="s">
        <v>246</v>
      </c>
      <c r="F104" s="111" t="s">
        <v>247</v>
      </c>
    </row>
    <row r="105" spans="2:6" ht="261" customHeight="1" x14ac:dyDescent="0.2">
      <c r="B105" s="124" t="s">
        <v>248</v>
      </c>
      <c r="C105" s="124" t="s">
        <v>244</v>
      </c>
      <c r="D105" s="124" t="s">
        <v>249</v>
      </c>
      <c r="E105" s="124" t="s">
        <v>250</v>
      </c>
      <c r="F105" s="111" t="s">
        <v>251</v>
      </c>
    </row>
    <row r="106" spans="2:6" ht="152.25" customHeight="1" x14ac:dyDescent="0.2">
      <c r="B106" s="124" t="s">
        <v>252</v>
      </c>
      <c r="C106" s="124" t="s">
        <v>244</v>
      </c>
      <c r="D106" s="124" t="s">
        <v>253</v>
      </c>
      <c r="E106" s="124" t="s">
        <v>254</v>
      </c>
      <c r="F106" s="111" t="s">
        <v>255</v>
      </c>
    </row>
    <row r="107" spans="2:6" ht="226.5" customHeight="1" x14ac:dyDescent="0.2">
      <c r="B107" s="124" t="s">
        <v>256</v>
      </c>
      <c r="C107" s="124" t="s">
        <v>244</v>
      </c>
      <c r="D107" s="124" t="s">
        <v>257</v>
      </c>
      <c r="E107" s="141" t="s">
        <v>258</v>
      </c>
      <c r="F107" s="61" t="s">
        <v>259</v>
      </c>
    </row>
    <row r="108" spans="2:6" x14ac:dyDescent="0.2">
      <c r="B108" s="61"/>
      <c r="C108" s="61"/>
      <c r="D108" s="61"/>
      <c r="E108" s="61"/>
      <c r="F108" s="61"/>
    </row>
    <row r="109" spans="2:6" x14ac:dyDescent="0.2">
      <c r="B109" s="61"/>
      <c r="C109" s="61"/>
      <c r="D109" s="61"/>
      <c r="E109" s="61"/>
      <c r="F109" s="61"/>
    </row>
    <row r="110" spans="2:6" x14ac:dyDescent="0.2">
      <c r="B110" s="61"/>
      <c r="C110" s="61"/>
      <c r="D110" s="61"/>
      <c r="E110" s="61"/>
      <c r="F110" s="61"/>
    </row>
    <row r="111" spans="2:6" x14ac:dyDescent="0.2">
      <c r="B111" s="61"/>
      <c r="C111" s="61"/>
      <c r="D111" s="61"/>
      <c r="E111" s="61"/>
      <c r="F111" s="61"/>
    </row>
    <row r="112" spans="2:6" x14ac:dyDescent="0.2">
      <c r="B112" s="61"/>
      <c r="C112" s="61"/>
      <c r="D112" s="61"/>
      <c r="E112" s="61"/>
      <c r="F112" s="61"/>
    </row>
    <row r="113" spans="2:6" x14ac:dyDescent="0.2">
      <c r="B113" s="61"/>
      <c r="C113" s="61"/>
      <c r="D113" s="61"/>
      <c r="E113" s="61"/>
      <c r="F113" s="61"/>
    </row>
    <row r="114" spans="2:6" x14ac:dyDescent="0.2">
      <c r="B114" s="61"/>
      <c r="C114" s="61"/>
      <c r="D114" s="61"/>
      <c r="E114" s="61"/>
      <c r="F114" s="61"/>
    </row>
    <row r="115" spans="2:6" x14ac:dyDescent="0.2">
      <c r="B115" s="61"/>
      <c r="C115" s="61"/>
      <c r="D115" s="61"/>
      <c r="E115" s="61"/>
      <c r="F115" s="61"/>
    </row>
    <row r="116" spans="2:6" x14ac:dyDescent="0.2">
      <c r="B116" s="61"/>
      <c r="C116" s="61"/>
      <c r="D116" s="61"/>
      <c r="E116" s="61"/>
      <c r="F116" s="61"/>
    </row>
    <row r="117" spans="2:6" x14ac:dyDescent="0.2">
      <c r="B117" s="61"/>
      <c r="C117" s="61"/>
      <c r="D117" s="61"/>
      <c r="E117" s="61"/>
      <c r="F117" s="61"/>
    </row>
    <row r="118" spans="2:6" x14ac:dyDescent="0.2">
      <c r="B118" s="61"/>
      <c r="C118" s="61"/>
      <c r="D118" s="61"/>
      <c r="E118" s="61"/>
      <c r="F118" s="61"/>
    </row>
    <row r="119" spans="2:6" x14ac:dyDescent="0.2">
      <c r="B119" s="61"/>
      <c r="C119" s="61"/>
      <c r="D119" s="61"/>
      <c r="E119" s="61"/>
      <c r="F119" s="61"/>
    </row>
    <row r="120" spans="2:6" x14ac:dyDescent="0.2">
      <c r="B120" s="61"/>
      <c r="C120" s="61"/>
      <c r="D120" s="61"/>
      <c r="E120" s="61"/>
      <c r="F120" s="61"/>
    </row>
    <row r="121" spans="2:6" x14ac:dyDescent="0.2">
      <c r="B121" s="61"/>
      <c r="C121" s="61"/>
      <c r="D121" s="61"/>
      <c r="E121" s="61"/>
      <c r="F121" s="61"/>
    </row>
  </sheetData>
  <mergeCells count="18">
    <mergeCell ref="B94:H94"/>
    <mergeCell ref="B96:H96"/>
    <mergeCell ref="C58:I58"/>
    <mergeCell ref="B80:I80"/>
    <mergeCell ref="H26:H32"/>
    <mergeCell ref="B2:G2"/>
    <mergeCell ref="B23:H23"/>
    <mergeCell ref="B21:H21"/>
    <mergeCell ref="B78:I78"/>
    <mergeCell ref="B6:G6"/>
    <mergeCell ref="B3:G3"/>
    <mergeCell ref="B8:G8"/>
    <mergeCell ref="B34:H34"/>
    <mergeCell ref="B36:H36"/>
    <mergeCell ref="B45:H45"/>
    <mergeCell ref="B47:H47"/>
    <mergeCell ref="B55:H55"/>
    <mergeCell ref="B57:H57"/>
  </mergeCells>
  <phoneticPr fontId="15" type="noConversion"/>
  <pageMargins left="0.75" right="0.75" top="1" bottom="1" header="0.5" footer="0.5"/>
  <pageSetup orientation="portrait" horizontalDpi="1200" verticalDpi="12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3"/>
  </sheetPr>
  <dimension ref="A1:AO130"/>
  <sheetViews>
    <sheetView showGridLines="0" zoomScale="88" zoomScaleNormal="123" workbookViewId="0">
      <pane xSplit="1" ySplit="4" topLeftCell="B106" activePane="bottomRight" state="frozen"/>
      <selection pane="topRight"/>
      <selection pane="bottomLeft"/>
      <selection pane="bottomRight" activeCell="D73" sqref="D73"/>
    </sheetView>
  </sheetViews>
  <sheetFormatPr baseColWidth="10" defaultColWidth="8.83203125" defaultRowHeight="15" x14ac:dyDescent="0.2"/>
  <cols>
    <col min="1" max="1" width="2.5" customWidth="1"/>
    <col min="2" max="2" width="40.33203125" customWidth="1"/>
    <col min="3" max="3" width="26" customWidth="1"/>
    <col min="4" max="4" width="50.83203125" customWidth="1"/>
    <col min="5" max="5" width="29.33203125" customWidth="1"/>
    <col min="6" max="8" width="23.5" customWidth="1"/>
    <col min="9" max="9" width="45.1640625" customWidth="1"/>
    <col min="10" max="10" width="23.5" customWidth="1"/>
    <col min="11" max="11" width="23.5" style="7" customWidth="1"/>
    <col min="12" max="17" width="23.5" customWidth="1"/>
    <col min="18" max="18" width="39.1640625" customWidth="1"/>
    <col min="19" max="32" width="23.5" customWidth="1"/>
  </cols>
  <sheetData>
    <row r="1" spans="1:21" x14ac:dyDescent="0.2">
      <c r="A1" s="7"/>
      <c r="B1" s="11"/>
      <c r="C1" s="11"/>
      <c r="D1" s="11"/>
      <c r="E1" s="11"/>
      <c r="F1" s="11"/>
      <c r="G1" s="11"/>
      <c r="H1" s="11"/>
      <c r="I1" s="11"/>
      <c r="J1" s="11"/>
      <c r="K1" s="11"/>
      <c r="L1" s="11"/>
      <c r="M1" s="11"/>
      <c r="N1" s="11"/>
      <c r="O1" s="11"/>
      <c r="P1" s="11"/>
      <c r="Q1" s="11"/>
      <c r="R1" s="11"/>
      <c r="S1" s="11"/>
      <c r="T1" s="11"/>
      <c r="U1" s="11"/>
    </row>
    <row r="2" spans="1:21" ht="20" x14ac:dyDescent="0.25">
      <c r="A2" s="7"/>
      <c r="B2" s="202" t="s">
        <v>260</v>
      </c>
      <c r="C2" s="203"/>
      <c r="D2" s="203"/>
      <c r="E2" s="203"/>
      <c r="F2" s="203"/>
      <c r="G2" s="203"/>
      <c r="H2" s="203"/>
      <c r="I2" s="203"/>
      <c r="J2" s="204"/>
      <c r="L2" s="7"/>
      <c r="M2" s="7"/>
      <c r="N2" s="7"/>
      <c r="O2" s="7"/>
      <c r="P2" s="7"/>
      <c r="Q2" s="7"/>
      <c r="R2" s="7"/>
      <c r="S2" s="7"/>
      <c r="T2" s="7"/>
      <c r="U2" s="7"/>
    </row>
    <row r="3" spans="1:21" ht="44" customHeight="1" x14ac:dyDescent="0.2">
      <c r="A3" s="7"/>
      <c r="B3" s="199" t="s">
        <v>261</v>
      </c>
      <c r="C3" s="200"/>
      <c r="D3" s="200"/>
      <c r="E3" s="200"/>
      <c r="F3" s="200"/>
      <c r="G3" s="200"/>
      <c r="H3" s="200"/>
      <c r="I3" s="200"/>
      <c r="J3" s="200"/>
      <c r="K3" s="200"/>
      <c r="L3" s="200"/>
      <c r="M3" s="200"/>
      <c r="N3" s="201"/>
      <c r="O3" s="7"/>
      <c r="P3" s="7"/>
      <c r="Q3" s="7"/>
      <c r="R3" s="7"/>
      <c r="S3" s="7"/>
      <c r="T3" s="7"/>
      <c r="U3" s="7"/>
    </row>
    <row r="4" spans="1:21" x14ac:dyDescent="0.2">
      <c r="A4" s="7"/>
      <c r="B4" s="11"/>
      <c r="C4" s="11"/>
      <c r="D4" s="11"/>
      <c r="E4" s="11"/>
      <c r="F4" s="11"/>
      <c r="G4" s="11"/>
      <c r="H4" s="11"/>
      <c r="I4" s="11"/>
      <c r="J4" s="11"/>
      <c r="K4" s="11"/>
      <c r="L4" s="11"/>
      <c r="M4" s="11"/>
      <c r="N4" s="11"/>
      <c r="O4" s="11"/>
      <c r="P4" s="11"/>
      <c r="Q4" s="11"/>
      <c r="R4" s="11"/>
      <c r="S4" s="11"/>
      <c r="T4" s="11"/>
      <c r="U4" s="11"/>
    </row>
    <row r="5" spans="1:21" ht="14.5" customHeight="1" x14ac:dyDescent="0.2">
      <c r="A5" s="7"/>
      <c r="B5" s="205" t="s">
        <v>262</v>
      </c>
      <c r="C5" s="206"/>
      <c r="D5" s="206"/>
      <c r="E5" s="206"/>
      <c r="F5" s="206"/>
      <c r="G5" s="206"/>
      <c r="H5" s="206"/>
      <c r="I5" s="206"/>
      <c r="J5" s="206"/>
      <c r="K5" s="206"/>
      <c r="L5" s="206"/>
      <c r="M5" s="206"/>
      <c r="N5" s="206"/>
      <c r="O5" s="7"/>
      <c r="P5" s="7"/>
      <c r="Q5" s="7"/>
      <c r="R5" s="7"/>
      <c r="S5" s="7"/>
      <c r="T5" s="7"/>
      <c r="U5" s="7"/>
    </row>
    <row r="6" spans="1:21" s="7" customFormat="1" x14ac:dyDescent="0.2">
      <c r="B6" s="158"/>
      <c r="C6" s="159"/>
      <c r="D6" s="159"/>
      <c r="E6" s="159"/>
      <c r="F6" s="159"/>
      <c r="G6" s="159"/>
      <c r="H6" s="159"/>
      <c r="I6" s="159"/>
      <c r="J6" s="159"/>
      <c r="L6" s="17"/>
      <c r="M6" s="17"/>
      <c r="N6" s="49"/>
      <c r="O6" s="17"/>
      <c r="P6" s="17"/>
      <c r="Q6" s="17"/>
      <c r="R6" s="17"/>
      <c r="S6" s="17"/>
      <c r="T6" s="17"/>
      <c r="U6" s="17"/>
    </row>
    <row r="7" spans="1:21" s="7" customFormat="1" ht="14.5" customHeight="1" x14ac:dyDescent="0.2">
      <c r="B7" s="207" t="s">
        <v>263</v>
      </c>
      <c r="C7" s="208"/>
      <c r="D7" s="208"/>
      <c r="E7" s="208"/>
      <c r="F7" s="208"/>
      <c r="G7" s="208"/>
      <c r="H7" s="208"/>
      <c r="I7" s="208"/>
      <c r="J7" s="208"/>
      <c r="K7" s="208"/>
      <c r="L7" s="208"/>
      <c r="M7" s="208"/>
      <c r="N7" s="209"/>
    </row>
    <row r="8" spans="1:21" s="7" customFormat="1" x14ac:dyDescent="0.2">
      <c r="B8" s="11"/>
      <c r="C8" s="11"/>
      <c r="D8" s="11"/>
      <c r="E8" s="11"/>
      <c r="F8" s="11"/>
      <c r="G8" s="11"/>
      <c r="H8" s="11"/>
      <c r="I8" s="11"/>
      <c r="J8" s="11"/>
      <c r="K8" s="11"/>
      <c r="L8" s="11"/>
      <c r="M8" s="11"/>
      <c r="N8" s="11"/>
      <c r="O8" s="17"/>
      <c r="P8" s="17"/>
      <c r="Q8" s="17"/>
      <c r="R8" s="17"/>
      <c r="S8" s="17"/>
      <c r="T8" s="17"/>
      <c r="U8" s="17"/>
    </row>
    <row r="9" spans="1:21" ht="32" x14ac:dyDescent="0.2">
      <c r="A9" s="7"/>
      <c r="B9" s="9" t="s">
        <v>264</v>
      </c>
      <c r="C9" s="9" t="s">
        <v>265</v>
      </c>
      <c r="D9" s="9" t="s">
        <v>266</v>
      </c>
      <c r="E9" s="9" t="s">
        <v>267</v>
      </c>
      <c r="F9" s="9" t="s">
        <v>268</v>
      </c>
      <c r="G9" s="9" t="s">
        <v>269</v>
      </c>
      <c r="H9" s="9" t="s">
        <v>270</v>
      </c>
      <c r="I9" s="9" t="s">
        <v>271</v>
      </c>
      <c r="J9" s="9" t="s">
        <v>272</v>
      </c>
      <c r="K9" s="9" t="s">
        <v>273</v>
      </c>
      <c r="L9" s="9" t="s">
        <v>274</v>
      </c>
      <c r="M9" s="9" t="s">
        <v>275</v>
      </c>
      <c r="N9" s="9" t="s">
        <v>276</v>
      </c>
      <c r="O9" s="7"/>
      <c r="P9" s="7"/>
      <c r="Q9" s="7"/>
      <c r="R9" s="7"/>
      <c r="S9" s="7"/>
      <c r="T9" s="7"/>
      <c r="U9" s="7"/>
    </row>
    <row r="10" spans="1:21" x14ac:dyDescent="0.2">
      <c r="A10" s="7"/>
      <c r="B10" s="11"/>
      <c r="C10" s="11"/>
      <c r="D10" s="11"/>
      <c r="E10" s="11"/>
      <c r="F10" s="11"/>
      <c r="G10" s="11"/>
      <c r="H10" s="11"/>
      <c r="I10" s="11"/>
      <c r="J10" s="11"/>
      <c r="K10" s="11"/>
      <c r="L10" s="11"/>
      <c r="M10" s="11"/>
      <c r="N10" s="11"/>
      <c r="O10" s="7"/>
      <c r="P10" s="7"/>
      <c r="Q10" s="7"/>
      <c r="R10" s="7"/>
      <c r="S10" s="7"/>
      <c r="T10" s="7"/>
      <c r="U10" s="7"/>
    </row>
    <row r="11" spans="1:21" ht="112" x14ac:dyDescent="0.2">
      <c r="A11" s="7"/>
      <c r="B11" s="14" t="s">
        <v>277</v>
      </c>
      <c r="C11" s="4" t="s">
        <v>278</v>
      </c>
      <c r="D11" s="21" t="s">
        <v>279</v>
      </c>
      <c r="E11" s="21" t="s">
        <v>280</v>
      </c>
      <c r="F11" s="8" t="s">
        <v>281</v>
      </c>
      <c r="G11" s="8">
        <v>1</v>
      </c>
      <c r="H11" s="8" t="s">
        <v>282</v>
      </c>
      <c r="I11" s="8" t="s">
        <v>283</v>
      </c>
      <c r="J11" s="8" t="s">
        <v>282</v>
      </c>
      <c r="K11" s="8" t="s">
        <v>284</v>
      </c>
      <c r="L11" s="8" t="s">
        <v>285</v>
      </c>
      <c r="M11" s="8" t="s">
        <v>286</v>
      </c>
      <c r="N11" s="8" t="s">
        <v>287</v>
      </c>
      <c r="O11" s="7"/>
      <c r="P11" s="7"/>
      <c r="Q11" s="7"/>
      <c r="R11" s="7"/>
      <c r="S11" s="7"/>
      <c r="T11" s="7"/>
      <c r="U11" s="7"/>
    </row>
    <row r="12" spans="1:21" ht="112" x14ac:dyDescent="0.2">
      <c r="A12" s="7"/>
      <c r="B12" s="3"/>
      <c r="C12" s="4" t="s">
        <v>288</v>
      </c>
      <c r="D12" s="21" t="s">
        <v>289</v>
      </c>
      <c r="E12" s="21" t="s">
        <v>290</v>
      </c>
      <c r="F12" s="8" t="s">
        <v>281</v>
      </c>
      <c r="G12" s="8">
        <v>1</v>
      </c>
      <c r="H12" s="8" t="s">
        <v>282</v>
      </c>
      <c r="I12" s="8" t="s">
        <v>283</v>
      </c>
      <c r="J12" s="8" t="s">
        <v>282</v>
      </c>
      <c r="K12" s="8" t="s">
        <v>284</v>
      </c>
      <c r="L12" s="8" t="s">
        <v>285</v>
      </c>
      <c r="M12" s="8" t="s">
        <v>286</v>
      </c>
      <c r="N12" s="8" t="s">
        <v>287</v>
      </c>
      <c r="O12" s="7"/>
      <c r="P12" s="7"/>
      <c r="Q12" s="7"/>
      <c r="R12" s="7"/>
      <c r="S12" s="7"/>
      <c r="T12" s="7"/>
      <c r="U12" s="7"/>
    </row>
    <row r="13" spans="1:21" ht="112" x14ac:dyDescent="0.2">
      <c r="A13" s="7"/>
      <c r="B13" s="14" t="s">
        <v>291</v>
      </c>
      <c r="C13" s="4" t="s">
        <v>292</v>
      </c>
      <c r="D13" s="21" t="s">
        <v>293</v>
      </c>
      <c r="E13" s="21" t="s">
        <v>294</v>
      </c>
      <c r="F13" s="8" t="s">
        <v>281</v>
      </c>
      <c r="G13" s="8">
        <v>2</v>
      </c>
      <c r="H13" s="8" t="s">
        <v>282</v>
      </c>
      <c r="I13" s="8" t="s">
        <v>283</v>
      </c>
      <c r="J13" s="8" t="s">
        <v>282</v>
      </c>
      <c r="K13" s="8" t="s">
        <v>284</v>
      </c>
      <c r="L13" s="8" t="s">
        <v>285</v>
      </c>
      <c r="M13" s="8" t="s">
        <v>286</v>
      </c>
      <c r="N13" s="8" t="s">
        <v>287</v>
      </c>
      <c r="O13" s="7"/>
      <c r="P13" s="7"/>
      <c r="Q13" s="7"/>
      <c r="R13" s="7"/>
      <c r="S13" s="7"/>
      <c r="T13" s="7"/>
      <c r="U13" s="7"/>
    </row>
    <row r="14" spans="1:21" ht="112" x14ac:dyDescent="0.2">
      <c r="A14" s="7"/>
      <c r="B14" s="3"/>
      <c r="C14" s="4" t="s">
        <v>295</v>
      </c>
      <c r="D14" s="21" t="s">
        <v>289</v>
      </c>
      <c r="E14" s="21" t="s">
        <v>290</v>
      </c>
      <c r="F14" s="8" t="s">
        <v>281</v>
      </c>
      <c r="G14" s="8">
        <v>2</v>
      </c>
      <c r="H14" s="8" t="s">
        <v>282</v>
      </c>
      <c r="I14" s="8" t="s">
        <v>283</v>
      </c>
      <c r="J14" s="8" t="s">
        <v>282</v>
      </c>
      <c r="K14" s="8" t="s">
        <v>284</v>
      </c>
      <c r="L14" s="8" t="s">
        <v>285</v>
      </c>
      <c r="M14" s="8" t="s">
        <v>286</v>
      </c>
      <c r="N14" s="8" t="s">
        <v>287</v>
      </c>
      <c r="O14" s="7"/>
      <c r="P14" s="7"/>
      <c r="Q14" s="7"/>
      <c r="R14" s="7"/>
      <c r="S14" s="7"/>
      <c r="T14" s="7"/>
      <c r="U14" s="7"/>
    </row>
    <row r="15" spans="1:21" ht="112" x14ac:dyDescent="0.2">
      <c r="A15" s="7"/>
      <c r="B15" s="3"/>
      <c r="C15" s="4" t="s">
        <v>296</v>
      </c>
      <c r="D15" s="21" t="s">
        <v>297</v>
      </c>
      <c r="E15" s="21" t="s">
        <v>298</v>
      </c>
      <c r="F15" s="8" t="s">
        <v>281</v>
      </c>
      <c r="G15" s="8">
        <v>3</v>
      </c>
      <c r="H15" s="8" t="s">
        <v>282</v>
      </c>
      <c r="I15" s="8" t="s">
        <v>283</v>
      </c>
      <c r="J15" s="8" t="s">
        <v>282</v>
      </c>
      <c r="K15" s="8" t="s">
        <v>284</v>
      </c>
      <c r="L15" s="8" t="s">
        <v>285</v>
      </c>
      <c r="M15" s="8" t="s">
        <v>286</v>
      </c>
      <c r="N15" s="8" t="s">
        <v>287</v>
      </c>
      <c r="O15" s="7"/>
      <c r="P15" s="7"/>
      <c r="Q15" s="7"/>
      <c r="R15" s="7"/>
      <c r="S15" s="7"/>
      <c r="T15" s="7"/>
      <c r="U15" s="7"/>
    </row>
    <row r="16" spans="1:21" ht="112" x14ac:dyDescent="0.2">
      <c r="A16" s="7"/>
      <c r="B16" s="14" t="s">
        <v>299</v>
      </c>
      <c r="C16" s="4" t="s">
        <v>300</v>
      </c>
      <c r="D16" s="21" t="s">
        <v>301</v>
      </c>
      <c r="E16" s="21" t="s">
        <v>280</v>
      </c>
      <c r="F16" s="8" t="s">
        <v>281</v>
      </c>
      <c r="G16" s="8">
        <v>3</v>
      </c>
      <c r="H16" s="8" t="s">
        <v>282</v>
      </c>
      <c r="I16" s="8" t="s">
        <v>283</v>
      </c>
      <c r="J16" s="8" t="s">
        <v>282</v>
      </c>
      <c r="K16" s="8" t="s">
        <v>284</v>
      </c>
      <c r="L16" s="8" t="s">
        <v>285</v>
      </c>
      <c r="M16" s="8" t="s">
        <v>286</v>
      </c>
      <c r="N16" s="8" t="s">
        <v>287</v>
      </c>
      <c r="O16" s="7"/>
      <c r="P16" s="7"/>
      <c r="Q16" s="7"/>
      <c r="R16" s="7"/>
      <c r="S16" s="7"/>
      <c r="T16" s="7"/>
      <c r="U16" s="7"/>
    </row>
    <row r="17" spans="1:21" ht="112" x14ac:dyDescent="0.2">
      <c r="A17" s="7"/>
      <c r="B17" s="3"/>
      <c r="C17" s="4" t="s">
        <v>302</v>
      </c>
      <c r="D17" s="21" t="s">
        <v>301</v>
      </c>
      <c r="E17" s="21" t="s">
        <v>280</v>
      </c>
      <c r="F17" s="8" t="s">
        <v>281</v>
      </c>
      <c r="G17" s="8">
        <v>3</v>
      </c>
      <c r="H17" s="8" t="s">
        <v>282</v>
      </c>
      <c r="I17" s="8" t="s">
        <v>283</v>
      </c>
      <c r="J17" s="8" t="s">
        <v>282</v>
      </c>
      <c r="K17" s="8" t="s">
        <v>284</v>
      </c>
      <c r="L17" s="8" t="s">
        <v>285</v>
      </c>
      <c r="M17" s="8" t="s">
        <v>286</v>
      </c>
      <c r="N17" s="8" t="s">
        <v>287</v>
      </c>
      <c r="O17" s="7"/>
      <c r="P17" s="7"/>
      <c r="Q17" s="7"/>
      <c r="R17" s="7"/>
      <c r="S17" s="7"/>
      <c r="T17" s="7"/>
      <c r="U17" s="7"/>
    </row>
    <row r="18" spans="1:21" ht="112" x14ac:dyDescent="0.2">
      <c r="A18" s="7"/>
      <c r="B18" s="14" t="s">
        <v>303</v>
      </c>
      <c r="C18" s="4" t="s">
        <v>304</v>
      </c>
      <c r="D18" s="21" t="s">
        <v>305</v>
      </c>
      <c r="E18" s="21" t="s">
        <v>280</v>
      </c>
      <c r="F18" s="8" t="s">
        <v>281</v>
      </c>
      <c r="G18" s="8">
        <v>2</v>
      </c>
      <c r="H18" s="8" t="s">
        <v>282</v>
      </c>
      <c r="I18" s="8" t="s">
        <v>283</v>
      </c>
      <c r="J18" s="8" t="s">
        <v>282</v>
      </c>
      <c r="K18" s="8" t="s">
        <v>284</v>
      </c>
      <c r="L18" s="8" t="s">
        <v>285</v>
      </c>
      <c r="M18" s="8" t="s">
        <v>286</v>
      </c>
      <c r="N18" s="8" t="s">
        <v>287</v>
      </c>
      <c r="O18" s="7"/>
      <c r="P18" s="7"/>
      <c r="Q18" s="7"/>
      <c r="R18" s="7"/>
      <c r="S18" s="7"/>
      <c r="T18" s="7"/>
      <c r="U18" s="7"/>
    </row>
    <row r="19" spans="1:21" ht="32" x14ac:dyDescent="0.2">
      <c r="A19" s="7"/>
      <c r="B19" s="14" t="s">
        <v>306</v>
      </c>
      <c r="C19" s="4" t="s">
        <v>307</v>
      </c>
      <c r="D19" s="21" t="s">
        <v>308</v>
      </c>
      <c r="E19" s="21" t="s">
        <v>309</v>
      </c>
      <c r="F19" s="8" t="s">
        <v>281</v>
      </c>
      <c r="G19" s="8">
        <v>2</v>
      </c>
      <c r="H19" s="8" t="s">
        <v>282</v>
      </c>
      <c r="I19" s="8" t="s">
        <v>310</v>
      </c>
      <c r="J19" s="8" t="s">
        <v>282</v>
      </c>
      <c r="K19" s="8" t="s">
        <v>284</v>
      </c>
      <c r="L19" s="8" t="s">
        <v>285</v>
      </c>
      <c r="M19" s="8" t="s">
        <v>286</v>
      </c>
      <c r="N19" s="8" t="s">
        <v>287</v>
      </c>
      <c r="O19" s="7"/>
      <c r="P19" s="7"/>
      <c r="Q19" s="7"/>
      <c r="R19" s="7"/>
      <c r="S19" s="7"/>
      <c r="T19" s="7"/>
      <c r="U19" s="7"/>
    </row>
    <row r="20" spans="1:21" ht="112" x14ac:dyDescent="0.2">
      <c r="A20" s="7"/>
      <c r="B20" s="14" t="s">
        <v>311</v>
      </c>
      <c r="C20" s="4" t="s">
        <v>312</v>
      </c>
      <c r="D20" s="21" t="s">
        <v>313</v>
      </c>
      <c r="E20" s="21" t="s">
        <v>314</v>
      </c>
      <c r="F20" s="8" t="s">
        <v>281</v>
      </c>
      <c r="G20" s="8">
        <v>4</v>
      </c>
      <c r="H20" s="8" t="s">
        <v>282</v>
      </c>
      <c r="I20" s="8" t="s">
        <v>283</v>
      </c>
      <c r="J20" s="8" t="s">
        <v>282</v>
      </c>
      <c r="K20" s="8" t="s">
        <v>284</v>
      </c>
      <c r="L20" s="8" t="s">
        <v>285</v>
      </c>
      <c r="M20" s="8" t="s">
        <v>286</v>
      </c>
      <c r="N20" s="8" t="s">
        <v>287</v>
      </c>
      <c r="O20" s="7"/>
      <c r="P20" s="7"/>
      <c r="Q20" s="7"/>
      <c r="R20" s="7"/>
      <c r="S20" s="7"/>
      <c r="T20" s="7"/>
      <c r="U20" s="7"/>
    </row>
    <row r="21" spans="1:21" ht="112" x14ac:dyDescent="0.2">
      <c r="A21" s="7"/>
      <c r="B21" s="3"/>
      <c r="C21" s="4" t="s">
        <v>315</v>
      </c>
      <c r="D21" s="21" t="s">
        <v>316</v>
      </c>
      <c r="E21" s="21" t="s">
        <v>280</v>
      </c>
      <c r="F21" s="8" t="s">
        <v>281</v>
      </c>
      <c r="G21" s="8">
        <v>4</v>
      </c>
      <c r="H21" s="8" t="s">
        <v>282</v>
      </c>
      <c r="I21" s="8" t="s">
        <v>283</v>
      </c>
      <c r="J21" s="8" t="s">
        <v>282</v>
      </c>
      <c r="K21" s="8" t="s">
        <v>284</v>
      </c>
      <c r="L21" s="8" t="s">
        <v>285</v>
      </c>
      <c r="M21" s="8" t="s">
        <v>286</v>
      </c>
      <c r="N21" s="8" t="s">
        <v>287</v>
      </c>
      <c r="O21" s="7"/>
      <c r="P21" s="7"/>
      <c r="Q21" s="7"/>
      <c r="R21" s="7"/>
      <c r="S21" s="7"/>
      <c r="T21" s="7"/>
      <c r="U21" s="7"/>
    </row>
    <row r="22" spans="1:21" ht="112" x14ac:dyDescent="0.2">
      <c r="A22" s="7"/>
      <c r="B22" s="3"/>
      <c r="C22" s="4" t="s">
        <v>317</v>
      </c>
      <c r="D22" s="21" t="s">
        <v>318</v>
      </c>
      <c r="E22" s="21" t="s">
        <v>280</v>
      </c>
      <c r="F22" s="8" t="s">
        <v>281</v>
      </c>
      <c r="G22" s="8">
        <v>4</v>
      </c>
      <c r="H22" s="8" t="s">
        <v>282</v>
      </c>
      <c r="I22" s="8" t="s">
        <v>283</v>
      </c>
      <c r="J22" s="8" t="s">
        <v>282</v>
      </c>
      <c r="K22" s="8" t="s">
        <v>284</v>
      </c>
      <c r="L22" s="8" t="s">
        <v>285</v>
      </c>
      <c r="M22" s="8" t="s">
        <v>286</v>
      </c>
      <c r="N22" s="8" t="s">
        <v>287</v>
      </c>
      <c r="O22" s="7"/>
      <c r="P22" s="7"/>
      <c r="Q22" s="7"/>
      <c r="R22" s="7"/>
      <c r="S22" s="7"/>
      <c r="T22" s="7"/>
      <c r="U22" s="7"/>
    </row>
    <row r="23" spans="1:21" ht="112" x14ac:dyDescent="0.2">
      <c r="A23" s="7"/>
      <c r="B23" s="14" t="s">
        <v>319</v>
      </c>
      <c r="C23" s="4" t="s">
        <v>320</v>
      </c>
      <c r="D23" s="21" t="s">
        <v>321</v>
      </c>
      <c r="E23" s="21" t="s">
        <v>280</v>
      </c>
      <c r="F23" s="8" t="s">
        <v>281</v>
      </c>
      <c r="G23" s="8">
        <v>4</v>
      </c>
      <c r="H23" s="8" t="s">
        <v>282</v>
      </c>
      <c r="I23" s="8" t="s">
        <v>283</v>
      </c>
      <c r="J23" s="8" t="s">
        <v>282</v>
      </c>
      <c r="K23" s="8" t="s">
        <v>284</v>
      </c>
      <c r="L23" s="8" t="s">
        <v>285</v>
      </c>
      <c r="M23" s="8" t="s">
        <v>286</v>
      </c>
      <c r="N23" s="8" t="s">
        <v>287</v>
      </c>
      <c r="O23" s="7"/>
      <c r="P23" s="7"/>
      <c r="Q23" s="7"/>
      <c r="R23" s="7"/>
      <c r="S23" s="7"/>
      <c r="T23" s="7"/>
      <c r="U23" s="7"/>
    </row>
    <row r="24" spans="1:21" s="7" customFormat="1" ht="112" x14ac:dyDescent="0.2">
      <c r="B24" s="52" t="s">
        <v>322</v>
      </c>
      <c r="C24" s="53" t="s">
        <v>323</v>
      </c>
      <c r="D24" s="54" t="s">
        <v>324</v>
      </c>
      <c r="E24" s="54" t="s">
        <v>325</v>
      </c>
      <c r="F24" s="8" t="s">
        <v>281</v>
      </c>
      <c r="G24" s="55">
        <v>4</v>
      </c>
      <c r="H24" s="8" t="s">
        <v>282</v>
      </c>
      <c r="I24" s="8" t="s">
        <v>283</v>
      </c>
      <c r="J24" s="8" t="s">
        <v>282</v>
      </c>
      <c r="K24" s="8" t="s">
        <v>284</v>
      </c>
      <c r="L24" s="8" t="s">
        <v>285</v>
      </c>
      <c r="M24" s="8" t="s">
        <v>286</v>
      </c>
      <c r="N24" s="8" t="s">
        <v>287</v>
      </c>
    </row>
    <row r="25" spans="1:21" s="7" customFormat="1" x14ac:dyDescent="0.2">
      <c r="B25" s="158"/>
      <c r="C25" s="159"/>
      <c r="D25" s="159"/>
      <c r="E25" s="159"/>
      <c r="F25" s="159"/>
      <c r="G25" s="159"/>
      <c r="H25" s="159"/>
      <c r="I25" s="159"/>
      <c r="J25" s="159"/>
      <c r="L25" s="17"/>
      <c r="M25" s="17"/>
      <c r="N25" s="17"/>
      <c r="O25" s="17"/>
      <c r="P25" s="17"/>
      <c r="Q25" s="17"/>
      <c r="R25" s="17"/>
      <c r="S25" s="17"/>
      <c r="T25" s="17"/>
      <c r="U25" s="17"/>
    </row>
    <row r="26" spans="1:21" s="7" customFormat="1" x14ac:dyDescent="0.2">
      <c r="B26" s="212"/>
      <c r="C26" s="149"/>
      <c r="D26" s="149"/>
      <c r="E26" s="159"/>
      <c r="F26" s="159"/>
      <c r="G26" s="159"/>
      <c r="H26" s="159"/>
      <c r="I26" s="159"/>
      <c r="J26" s="213"/>
      <c r="L26" s="17"/>
      <c r="M26" s="17"/>
      <c r="N26" s="17"/>
      <c r="O26" s="17"/>
      <c r="P26" s="17"/>
      <c r="Q26" s="17"/>
      <c r="R26" s="17"/>
      <c r="S26" s="17"/>
      <c r="T26" s="17"/>
      <c r="U26" s="17"/>
    </row>
    <row r="27" spans="1:21" s="7" customFormat="1" ht="14.5" customHeight="1" x14ac:dyDescent="0.2">
      <c r="B27" s="210" t="s">
        <v>326</v>
      </c>
      <c r="C27" s="211"/>
      <c r="D27" s="211"/>
    </row>
    <row r="28" spans="1:21" x14ac:dyDescent="0.2">
      <c r="A28" s="7"/>
      <c r="B28" s="11"/>
      <c r="C28" s="11"/>
      <c r="D28" s="11"/>
      <c r="E28" s="11"/>
      <c r="F28" s="11"/>
      <c r="G28" s="11"/>
      <c r="H28" s="11"/>
      <c r="I28" s="11"/>
      <c r="J28" s="11"/>
      <c r="K28" s="11"/>
      <c r="L28" s="11"/>
      <c r="M28" s="11"/>
      <c r="N28" s="11"/>
      <c r="O28" s="11"/>
      <c r="P28" s="11"/>
      <c r="Q28" s="11"/>
      <c r="R28" s="11"/>
      <c r="S28" s="11"/>
      <c r="T28" s="11"/>
      <c r="U28" s="11"/>
    </row>
    <row r="29" spans="1:21" s="7" customFormat="1" ht="38" customHeight="1" x14ac:dyDescent="0.2">
      <c r="B29" s="199" t="s">
        <v>327</v>
      </c>
      <c r="C29" s="200"/>
      <c r="D29" s="201"/>
    </row>
    <row r="30" spans="1:21" x14ac:dyDescent="0.2">
      <c r="A30" s="7"/>
      <c r="B30" s="11"/>
      <c r="C30" s="11"/>
      <c r="D30" s="11"/>
      <c r="E30" s="11"/>
      <c r="F30" s="11"/>
      <c r="G30" s="11"/>
      <c r="H30" s="11"/>
      <c r="I30" s="11"/>
      <c r="J30" s="11"/>
      <c r="K30" s="11"/>
      <c r="L30" s="11"/>
      <c r="M30" s="11"/>
      <c r="N30" s="11"/>
      <c r="O30" s="11"/>
      <c r="P30" s="11"/>
      <c r="Q30" s="11"/>
      <c r="R30" s="11"/>
      <c r="S30" s="11"/>
      <c r="T30" s="11"/>
      <c r="U30" s="11"/>
    </row>
    <row r="31" spans="1:21" ht="48" x14ac:dyDescent="0.2">
      <c r="A31" s="7"/>
      <c r="B31" s="9" t="s">
        <v>328</v>
      </c>
      <c r="C31" s="9" t="s">
        <v>329</v>
      </c>
      <c r="D31" s="9" t="s">
        <v>330</v>
      </c>
      <c r="E31" s="7"/>
      <c r="F31" s="7"/>
      <c r="G31" s="7"/>
      <c r="H31" s="7"/>
      <c r="I31" s="7"/>
      <c r="J31" s="7"/>
      <c r="L31" s="7"/>
      <c r="M31" s="7"/>
      <c r="N31" s="7"/>
      <c r="O31" s="7"/>
      <c r="P31" s="7"/>
      <c r="Q31" s="7"/>
      <c r="R31" s="7"/>
      <c r="S31" s="7"/>
      <c r="T31" s="7"/>
      <c r="U31" s="7"/>
    </row>
    <row r="32" spans="1:21" x14ac:dyDescent="0.2">
      <c r="A32" s="7"/>
      <c r="B32" s="11"/>
      <c r="C32" s="11"/>
      <c r="D32" s="11"/>
      <c r="E32" s="7"/>
      <c r="F32" s="7"/>
      <c r="G32" s="7"/>
      <c r="H32" s="7"/>
      <c r="I32" s="7"/>
      <c r="J32" s="7"/>
      <c r="L32" s="7"/>
      <c r="M32" s="7"/>
      <c r="N32" s="7"/>
      <c r="O32" s="7"/>
      <c r="P32" s="7"/>
      <c r="Q32" s="7"/>
      <c r="R32" s="7"/>
      <c r="S32" s="7"/>
      <c r="T32" s="7"/>
      <c r="U32" s="7"/>
    </row>
    <row r="33" spans="1:41" ht="192" x14ac:dyDescent="0.2">
      <c r="A33" s="7"/>
      <c r="B33" s="4" t="s">
        <v>331</v>
      </c>
      <c r="C33" s="8" t="s">
        <v>332</v>
      </c>
      <c r="D33" s="8" t="s">
        <v>333</v>
      </c>
      <c r="E33" s="7"/>
      <c r="F33" s="7"/>
      <c r="G33" s="7"/>
      <c r="H33" s="7"/>
      <c r="I33" s="7"/>
      <c r="J33" s="7"/>
      <c r="L33" s="7"/>
      <c r="M33" s="7"/>
      <c r="N33" s="7"/>
      <c r="O33" s="7"/>
      <c r="P33" s="7"/>
      <c r="Q33" s="7"/>
      <c r="R33" s="7"/>
      <c r="S33" s="7"/>
      <c r="T33" s="7"/>
      <c r="U33" s="7"/>
      <c r="V33" s="7"/>
      <c r="W33" s="7"/>
      <c r="X33" s="7"/>
      <c r="Y33" s="7"/>
      <c r="Z33" s="7"/>
      <c r="AA33" s="7"/>
      <c r="AB33" s="7"/>
      <c r="AC33" s="7"/>
      <c r="AD33" s="7"/>
      <c r="AE33" s="7"/>
      <c r="AF33" s="7"/>
      <c r="AG33" s="7"/>
      <c r="AH33" s="7"/>
      <c r="AI33" s="7"/>
      <c r="AJ33" s="7"/>
      <c r="AK33" s="7"/>
      <c r="AL33" s="7"/>
      <c r="AM33" s="7"/>
      <c r="AN33" s="7"/>
      <c r="AO33" s="7"/>
    </row>
    <row r="34" spans="1:41" ht="228" customHeight="1" x14ac:dyDescent="0.2">
      <c r="A34" s="7"/>
      <c r="B34" s="4" t="s">
        <v>334</v>
      </c>
      <c r="C34" s="8" t="s">
        <v>332</v>
      </c>
      <c r="D34" s="8" t="s">
        <v>335</v>
      </c>
      <c r="E34" s="7"/>
      <c r="F34" s="7"/>
      <c r="G34" s="7"/>
      <c r="H34" s="7"/>
      <c r="I34" s="7"/>
      <c r="J34" s="7"/>
      <c r="L34" s="7"/>
      <c r="M34" s="7"/>
      <c r="N34" s="7"/>
      <c r="O34" s="7"/>
      <c r="P34" s="7"/>
      <c r="Q34" s="7"/>
      <c r="R34" s="7"/>
      <c r="S34" s="7"/>
      <c r="T34" s="7"/>
      <c r="U34" s="7"/>
      <c r="V34" s="7"/>
      <c r="W34" s="7"/>
      <c r="X34" s="7"/>
      <c r="Y34" s="7"/>
      <c r="Z34" s="7"/>
      <c r="AA34" s="7"/>
      <c r="AB34" s="7"/>
      <c r="AC34" s="7"/>
      <c r="AD34" s="7"/>
      <c r="AE34" s="7"/>
      <c r="AF34" s="7"/>
      <c r="AG34" s="7"/>
      <c r="AH34" s="7"/>
      <c r="AI34" s="7"/>
      <c r="AJ34" s="7"/>
      <c r="AK34" s="7"/>
      <c r="AL34" s="7"/>
      <c r="AM34" s="7"/>
      <c r="AN34" s="7"/>
      <c r="AO34" s="7"/>
    </row>
    <row r="35" spans="1:41" ht="80" x14ac:dyDescent="0.2">
      <c r="A35" s="7"/>
      <c r="B35" s="4" t="s">
        <v>336</v>
      </c>
      <c r="C35" s="8" t="s">
        <v>332</v>
      </c>
      <c r="D35" s="8" t="s">
        <v>337</v>
      </c>
      <c r="E35" s="7"/>
      <c r="F35" s="7"/>
      <c r="G35" s="7"/>
      <c r="H35" s="7"/>
      <c r="I35" s="7"/>
      <c r="J35" s="7"/>
      <c r="L35" s="7"/>
      <c r="M35" s="7"/>
      <c r="N35" s="7"/>
      <c r="O35" s="7"/>
      <c r="P35" s="7"/>
      <c r="Q35" s="7"/>
      <c r="R35" s="7"/>
      <c r="S35" s="7"/>
      <c r="T35" s="7"/>
      <c r="U35" s="7"/>
      <c r="V35" s="7"/>
      <c r="W35" s="7"/>
      <c r="X35" s="7"/>
      <c r="Y35" s="7"/>
      <c r="Z35" s="7"/>
      <c r="AA35" s="7"/>
      <c r="AB35" s="7"/>
      <c r="AC35" s="7"/>
      <c r="AD35" s="7"/>
      <c r="AE35" s="7"/>
      <c r="AF35" s="7"/>
      <c r="AG35" s="7"/>
      <c r="AH35" s="7"/>
      <c r="AI35" s="7"/>
      <c r="AJ35" s="7"/>
      <c r="AK35" s="7"/>
      <c r="AL35" s="7"/>
      <c r="AM35" s="7"/>
      <c r="AN35" s="7"/>
      <c r="AO35" s="7"/>
    </row>
    <row r="36" spans="1:41" ht="272" x14ac:dyDescent="0.2">
      <c r="A36" s="7"/>
      <c r="B36" s="4" t="s">
        <v>338</v>
      </c>
      <c r="C36" s="8" t="s">
        <v>332</v>
      </c>
      <c r="D36" s="8" t="s">
        <v>339</v>
      </c>
      <c r="E36" s="7"/>
      <c r="F36" s="7"/>
      <c r="G36" s="7"/>
      <c r="H36" s="7"/>
      <c r="I36" s="7"/>
      <c r="J36" s="7"/>
      <c r="L36" s="7"/>
      <c r="M36" s="7"/>
      <c r="N36" s="7"/>
      <c r="O36" s="7"/>
      <c r="P36" s="7"/>
      <c r="Q36" s="7"/>
      <c r="R36" s="7"/>
      <c r="S36" s="7"/>
      <c r="T36" s="7"/>
      <c r="U36" s="7"/>
      <c r="V36" s="7"/>
      <c r="W36" s="7"/>
      <c r="X36" s="7"/>
      <c r="Y36" s="7"/>
      <c r="Z36" s="7"/>
      <c r="AA36" s="7"/>
      <c r="AB36" s="7"/>
      <c r="AC36" s="7"/>
      <c r="AD36" s="7"/>
      <c r="AE36" s="7"/>
      <c r="AF36" s="7"/>
      <c r="AG36" s="7"/>
      <c r="AH36" s="7"/>
      <c r="AI36" s="7"/>
      <c r="AJ36" s="7"/>
      <c r="AK36" s="7"/>
      <c r="AL36" s="7"/>
      <c r="AM36" s="7"/>
      <c r="AN36" s="7"/>
      <c r="AO36" s="7"/>
    </row>
    <row r="37" spans="1:41" ht="224" x14ac:dyDescent="0.2">
      <c r="A37" s="7"/>
      <c r="B37" s="4" t="s">
        <v>340</v>
      </c>
      <c r="C37" s="8" t="s">
        <v>332</v>
      </c>
      <c r="D37" s="8" t="s">
        <v>341</v>
      </c>
      <c r="E37" s="7"/>
      <c r="F37" s="7"/>
      <c r="G37" s="7"/>
      <c r="H37" s="7"/>
      <c r="I37" s="7"/>
      <c r="J37" s="7"/>
      <c r="L37" s="7"/>
      <c r="M37" s="7"/>
      <c r="N37" s="7"/>
      <c r="O37" s="7"/>
      <c r="P37" s="7"/>
      <c r="Q37" s="7"/>
      <c r="R37" s="7"/>
      <c r="S37" s="7"/>
      <c r="T37" s="7"/>
      <c r="U37" s="7"/>
      <c r="V37" s="7"/>
      <c r="W37" s="7"/>
      <c r="X37" s="7"/>
      <c r="Y37" s="7"/>
      <c r="Z37" s="7"/>
      <c r="AA37" s="7"/>
      <c r="AB37" s="7"/>
      <c r="AC37" s="7"/>
      <c r="AD37" s="7"/>
      <c r="AE37" s="7"/>
      <c r="AF37" s="7"/>
      <c r="AG37" s="7"/>
      <c r="AH37" s="7"/>
      <c r="AI37" s="7"/>
      <c r="AJ37" s="7"/>
      <c r="AK37" s="7"/>
      <c r="AL37" s="7"/>
      <c r="AM37" s="7"/>
      <c r="AN37" s="7"/>
      <c r="AO37" s="7"/>
    </row>
    <row r="38" spans="1:41" ht="176" x14ac:dyDescent="0.2">
      <c r="A38" s="7"/>
      <c r="B38" s="4" t="s">
        <v>342</v>
      </c>
      <c r="C38" s="8" t="s">
        <v>343</v>
      </c>
      <c r="D38" s="8" t="s">
        <v>344</v>
      </c>
      <c r="E38" s="7"/>
      <c r="F38" s="7"/>
      <c r="G38" s="7"/>
      <c r="H38" s="7"/>
      <c r="I38" s="7"/>
      <c r="J38" s="7"/>
      <c r="L38" s="7"/>
      <c r="M38" s="7"/>
      <c r="N38" s="7"/>
      <c r="O38" s="7"/>
      <c r="P38" s="7"/>
      <c r="Q38" s="7"/>
      <c r="R38" s="7"/>
      <c r="S38" s="7"/>
      <c r="T38" s="7"/>
      <c r="U38" s="7"/>
      <c r="V38" s="7"/>
      <c r="W38" s="7"/>
      <c r="X38" s="7"/>
      <c r="Y38" s="7"/>
      <c r="Z38" s="7"/>
      <c r="AA38" s="7"/>
      <c r="AB38" s="7"/>
      <c r="AC38" s="7"/>
      <c r="AD38" s="7"/>
      <c r="AE38" s="7"/>
      <c r="AF38" s="7"/>
      <c r="AG38" s="7"/>
      <c r="AH38" s="7"/>
      <c r="AI38" s="7"/>
      <c r="AJ38" s="7"/>
      <c r="AK38" s="7"/>
      <c r="AL38" s="7"/>
      <c r="AM38" s="7"/>
      <c r="AN38" s="7"/>
      <c r="AO38" s="7"/>
    </row>
    <row r="39" spans="1:41" ht="202.5" customHeight="1" x14ac:dyDescent="0.2">
      <c r="A39" s="7"/>
      <c r="B39" s="4" t="s">
        <v>345</v>
      </c>
      <c r="C39" s="8" t="s">
        <v>332</v>
      </c>
      <c r="D39" s="8" t="s">
        <v>346</v>
      </c>
      <c r="E39" s="7"/>
      <c r="F39" s="7"/>
      <c r="G39" s="7"/>
      <c r="H39" s="7"/>
      <c r="I39" s="7"/>
      <c r="J39" s="7"/>
      <c r="L39" s="7"/>
      <c r="M39" s="7"/>
      <c r="N39" s="7"/>
      <c r="O39" s="7"/>
      <c r="P39" s="7"/>
      <c r="Q39" s="7"/>
      <c r="R39" s="7"/>
      <c r="S39" s="7"/>
      <c r="T39" s="7"/>
      <c r="U39" s="7"/>
      <c r="V39" s="7"/>
      <c r="W39" s="7"/>
      <c r="X39" s="7"/>
      <c r="Y39" s="7"/>
      <c r="Z39" s="7"/>
      <c r="AA39" s="7"/>
      <c r="AB39" s="7"/>
      <c r="AC39" s="7"/>
      <c r="AD39" s="7"/>
      <c r="AE39" s="7"/>
      <c r="AF39" s="7"/>
      <c r="AG39" s="7"/>
      <c r="AH39" s="7"/>
      <c r="AI39" s="7"/>
      <c r="AJ39" s="7"/>
      <c r="AK39" s="7"/>
      <c r="AL39" s="7"/>
      <c r="AM39" s="7"/>
      <c r="AN39" s="7"/>
      <c r="AO39" s="7"/>
    </row>
    <row r="40" spans="1:41" ht="185.25" customHeight="1" x14ac:dyDescent="0.2">
      <c r="A40" s="7"/>
      <c r="B40" s="4" t="s">
        <v>347</v>
      </c>
      <c r="C40" s="8" t="s">
        <v>332</v>
      </c>
      <c r="D40" s="8" t="s">
        <v>348</v>
      </c>
      <c r="E40" s="7"/>
      <c r="F40" s="7"/>
      <c r="G40" s="7"/>
      <c r="H40" s="7"/>
      <c r="I40" s="7"/>
      <c r="J40" s="7"/>
      <c r="L40" s="7"/>
      <c r="M40" s="7"/>
      <c r="N40" s="7"/>
      <c r="O40" s="7"/>
      <c r="P40" s="7"/>
      <c r="Q40" s="7"/>
      <c r="R40" s="7"/>
      <c r="S40" s="7"/>
      <c r="T40" s="7"/>
      <c r="U40" s="7"/>
      <c r="V40" s="7"/>
      <c r="W40" s="7"/>
      <c r="X40" s="7"/>
      <c r="Y40" s="7"/>
      <c r="Z40" s="7"/>
      <c r="AA40" s="7"/>
      <c r="AB40" s="7"/>
      <c r="AC40" s="7"/>
      <c r="AD40" s="7"/>
      <c r="AE40" s="7"/>
      <c r="AF40" s="7"/>
      <c r="AG40" s="7"/>
      <c r="AH40" s="7"/>
      <c r="AI40" s="7"/>
      <c r="AJ40" s="7"/>
      <c r="AK40" s="7"/>
      <c r="AL40" s="7"/>
      <c r="AM40" s="7"/>
      <c r="AN40" s="7"/>
      <c r="AO40" s="7"/>
    </row>
    <row r="41" spans="1:41" s="7" customFormat="1" ht="103.5" customHeight="1" x14ac:dyDescent="0.2">
      <c r="B41" s="4" t="s">
        <v>349</v>
      </c>
      <c r="C41" s="8" t="s">
        <v>332</v>
      </c>
      <c r="D41" s="8" t="s">
        <v>350</v>
      </c>
    </row>
    <row r="42" spans="1:41" s="7" customFormat="1" ht="160" x14ac:dyDescent="0.2">
      <c r="B42" s="4" t="s">
        <v>351</v>
      </c>
      <c r="C42" s="8" t="s">
        <v>332</v>
      </c>
      <c r="D42" s="8" t="s">
        <v>352</v>
      </c>
    </row>
    <row r="43" spans="1:41" s="7" customFormat="1" ht="160" x14ac:dyDescent="0.2">
      <c r="B43" s="4" t="s">
        <v>353</v>
      </c>
      <c r="C43" s="8" t="s">
        <v>332</v>
      </c>
      <c r="D43" s="8" t="s">
        <v>354</v>
      </c>
    </row>
    <row r="44" spans="1:41" ht="192" x14ac:dyDescent="0.2">
      <c r="A44" s="7"/>
      <c r="B44" s="4" t="s">
        <v>355</v>
      </c>
      <c r="C44" s="8" t="s">
        <v>332</v>
      </c>
      <c r="D44" s="8" t="s">
        <v>356</v>
      </c>
      <c r="E44" s="7"/>
      <c r="F44" s="7"/>
      <c r="G44" s="7"/>
      <c r="H44" s="7"/>
      <c r="I44" s="7"/>
      <c r="J44" s="7"/>
      <c r="L44" s="7"/>
      <c r="M44" s="7"/>
      <c r="N44" s="7"/>
      <c r="O44" s="7"/>
      <c r="P44" s="7"/>
      <c r="Q44" s="7"/>
      <c r="R44" s="7"/>
      <c r="S44" s="7"/>
      <c r="T44" s="7"/>
      <c r="U44" s="7"/>
      <c r="V44" s="7"/>
      <c r="W44" s="7"/>
      <c r="X44" s="7"/>
      <c r="Y44" s="7"/>
      <c r="Z44" s="7"/>
      <c r="AA44" s="7"/>
      <c r="AB44" s="7"/>
      <c r="AC44" s="7"/>
      <c r="AD44" s="7"/>
      <c r="AE44" s="7"/>
      <c r="AF44" s="7"/>
      <c r="AG44" s="7"/>
      <c r="AH44" s="7"/>
      <c r="AI44" s="7"/>
      <c r="AJ44" s="7"/>
      <c r="AK44" s="7"/>
      <c r="AL44" s="7"/>
      <c r="AM44" s="7"/>
      <c r="AN44" s="7"/>
      <c r="AO44" s="7"/>
    </row>
    <row r="45" spans="1:41" x14ac:dyDescent="0.2">
      <c r="A45" s="7"/>
      <c r="B45" s="11"/>
      <c r="C45" s="11"/>
      <c r="D45" s="11"/>
      <c r="E45" s="11"/>
      <c r="F45" s="11"/>
      <c r="G45" s="11"/>
      <c r="H45" s="11"/>
      <c r="I45" s="11"/>
      <c r="J45" s="11"/>
      <c r="K45" s="11"/>
      <c r="L45" s="11"/>
      <c r="M45" s="11"/>
      <c r="N45" s="11"/>
      <c r="O45" s="11"/>
      <c r="P45" s="11"/>
      <c r="Q45" s="11"/>
      <c r="R45" s="11"/>
      <c r="S45" s="11"/>
      <c r="T45" s="11"/>
      <c r="U45" s="11"/>
      <c r="V45" s="7"/>
      <c r="W45" s="7"/>
      <c r="X45" s="7"/>
      <c r="Y45" s="7"/>
      <c r="Z45" s="7"/>
      <c r="AA45" s="7"/>
      <c r="AB45" s="7"/>
      <c r="AC45" s="7"/>
      <c r="AD45" s="7"/>
      <c r="AE45" s="7"/>
      <c r="AF45" s="7"/>
      <c r="AG45" s="7"/>
      <c r="AH45" s="7"/>
      <c r="AI45" s="7"/>
      <c r="AJ45" s="7"/>
      <c r="AK45" s="7"/>
      <c r="AL45" s="7"/>
      <c r="AM45" s="7"/>
      <c r="AN45" s="7"/>
      <c r="AO45" s="7"/>
    </row>
    <row r="46" spans="1:41" x14ac:dyDescent="0.2">
      <c r="A46" s="7"/>
      <c r="B46" s="205" t="s">
        <v>357</v>
      </c>
      <c r="C46" s="206"/>
      <c r="D46" s="206"/>
      <c r="E46" s="206"/>
      <c r="F46" s="206"/>
      <c r="G46" s="206"/>
      <c r="H46" s="206"/>
      <c r="I46" s="206"/>
      <c r="J46" s="206"/>
      <c r="K46" s="206"/>
      <c r="L46" s="206"/>
      <c r="M46" s="206"/>
      <c r="N46" s="206"/>
      <c r="O46" s="206"/>
      <c r="P46" s="206"/>
      <c r="Q46" s="7"/>
      <c r="R46" s="7"/>
      <c r="S46" s="7"/>
      <c r="T46" s="7"/>
      <c r="U46" s="7"/>
      <c r="V46" s="7"/>
      <c r="W46" s="7"/>
      <c r="X46" s="7"/>
      <c r="Y46" s="7"/>
      <c r="Z46" s="7"/>
      <c r="AA46" s="7"/>
      <c r="AB46" s="7"/>
      <c r="AC46" s="7"/>
      <c r="AD46" s="7"/>
      <c r="AE46" s="7"/>
      <c r="AF46" s="7"/>
      <c r="AG46" s="7"/>
      <c r="AH46" s="7"/>
      <c r="AI46" s="7"/>
      <c r="AJ46" s="7"/>
      <c r="AK46" s="7"/>
      <c r="AL46" s="7"/>
      <c r="AM46" s="7"/>
      <c r="AN46" s="7"/>
      <c r="AO46" s="7"/>
    </row>
    <row r="47" spans="1:41" x14ac:dyDescent="0.2">
      <c r="A47" s="7"/>
      <c r="B47" s="63"/>
      <c r="C47" s="62"/>
      <c r="D47" s="62"/>
      <c r="E47" s="62"/>
      <c r="F47" s="62"/>
      <c r="G47" s="62"/>
      <c r="H47" s="62"/>
      <c r="I47" s="62"/>
      <c r="J47" s="62"/>
      <c r="K47" s="62"/>
      <c r="L47" s="62"/>
      <c r="M47" s="62"/>
      <c r="N47" s="62"/>
      <c r="O47" s="62"/>
      <c r="P47" s="64"/>
      <c r="Q47" s="17"/>
      <c r="R47" s="11"/>
      <c r="S47" s="11"/>
      <c r="T47" s="11"/>
      <c r="U47" s="11"/>
      <c r="V47" s="7"/>
      <c r="W47" s="7"/>
      <c r="X47" s="7"/>
      <c r="Y47" s="7"/>
      <c r="Z47" s="7"/>
      <c r="AA47" s="7"/>
      <c r="AB47" s="7"/>
      <c r="AC47" s="7"/>
      <c r="AD47" s="7"/>
      <c r="AE47" s="7"/>
      <c r="AF47" s="7"/>
      <c r="AG47" s="7"/>
      <c r="AH47" s="7"/>
      <c r="AI47" s="7"/>
      <c r="AJ47" s="7"/>
      <c r="AK47" s="7"/>
      <c r="AL47" s="7"/>
      <c r="AM47" s="7"/>
      <c r="AN47" s="7"/>
      <c r="AO47" s="7"/>
    </row>
    <row r="48" spans="1:41" ht="14.5" customHeight="1" x14ac:dyDescent="0.2">
      <c r="A48" s="7"/>
      <c r="B48" s="199" t="s">
        <v>358</v>
      </c>
      <c r="C48" s="200"/>
      <c r="D48" s="200"/>
      <c r="E48" s="200"/>
      <c r="F48" s="200"/>
      <c r="G48" s="200"/>
      <c r="H48" s="200"/>
      <c r="I48" s="200"/>
      <c r="J48" s="200"/>
      <c r="K48" s="200"/>
      <c r="L48" s="200"/>
      <c r="M48" s="200"/>
      <c r="N48" s="200"/>
      <c r="O48" s="200"/>
      <c r="P48" s="201"/>
      <c r="Q48" s="7"/>
      <c r="R48" s="7"/>
      <c r="S48" s="7"/>
      <c r="T48" s="7"/>
      <c r="U48" s="7"/>
      <c r="V48" s="7"/>
      <c r="W48" s="7"/>
      <c r="X48" s="7"/>
      <c r="Y48" s="7"/>
      <c r="Z48" s="7"/>
      <c r="AA48" s="7"/>
      <c r="AB48" s="7"/>
      <c r="AC48" s="7"/>
      <c r="AD48" s="7"/>
      <c r="AE48" s="7"/>
      <c r="AF48" s="7"/>
      <c r="AG48" s="7"/>
      <c r="AH48" s="7"/>
      <c r="AI48" s="7"/>
      <c r="AJ48" s="7"/>
      <c r="AK48" s="7"/>
      <c r="AL48" s="7"/>
      <c r="AM48" s="7"/>
      <c r="AN48" s="7"/>
      <c r="AO48" s="7"/>
    </row>
    <row r="49" spans="1:41" x14ac:dyDescent="0.2">
      <c r="A49" s="7"/>
      <c r="B49" s="17"/>
      <c r="C49" s="17"/>
      <c r="D49" s="17"/>
      <c r="E49" s="17"/>
      <c r="F49" s="17"/>
      <c r="G49" s="17"/>
      <c r="H49" s="17"/>
      <c r="I49" s="17"/>
      <c r="J49" s="17"/>
      <c r="K49" s="17"/>
      <c r="L49" s="17"/>
      <c r="M49" s="17"/>
      <c r="N49" s="17"/>
      <c r="O49" s="17"/>
      <c r="P49" s="17"/>
      <c r="Q49" s="11"/>
      <c r="R49" s="11"/>
      <c r="S49" s="11"/>
      <c r="T49" s="11"/>
      <c r="U49" s="11"/>
      <c r="V49" s="7"/>
      <c r="W49" s="7"/>
      <c r="X49" s="7"/>
      <c r="Y49" s="7"/>
      <c r="Z49" s="7"/>
      <c r="AA49" s="7"/>
      <c r="AB49" s="7"/>
      <c r="AC49" s="7"/>
      <c r="AD49" s="7"/>
      <c r="AE49" s="7"/>
      <c r="AF49" s="7"/>
      <c r="AG49" s="7"/>
      <c r="AH49" s="7"/>
      <c r="AI49" s="7"/>
      <c r="AJ49" s="7"/>
      <c r="AK49" s="7"/>
      <c r="AL49" s="7"/>
      <c r="AM49" s="7"/>
      <c r="AN49" s="7"/>
      <c r="AO49" s="7"/>
    </row>
    <row r="50" spans="1:41" ht="64" x14ac:dyDescent="0.2">
      <c r="A50" s="7"/>
      <c r="B50" s="9" t="s">
        <v>359</v>
      </c>
      <c r="C50" s="9" t="s">
        <v>360</v>
      </c>
      <c r="D50" s="9" t="s">
        <v>5</v>
      </c>
      <c r="E50" s="9" t="s">
        <v>361</v>
      </c>
      <c r="F50" s="9" t="s">
        <v>362</v>
      </c>
      <c r="G50" s="9" t="s">
        <v>363</v>
      </c>
      <c r="H50" s="9" t="s">
        <v>364</v>
      </c>
      <c r="I50" s="9" t="s">
        <v>365</v>
      </c>
      <c r="J50" s="9" t="s">
        <v>366</v>
      </c>
      <c r="K50" s="9" t="s">
        <v>367</v>
      </c>
      <c r="L50" s="9" t="s">
        <v>368</v>
      </c>
      <c r="M50" s="9" t="s">
        <v>369</v>
      </c>
      <c r="N50" s="9" t="s">
        <v>370</v>
      </c>
      <c r="O50" s="9" t="s">
        <v>371</v>
      </c>
      <c r="P50" s="9" t="s">
        <v>372</v>
      </c>
      <c r="Q50" s="9" t="s">
        <v>373</v>
      </c>
      <c r="R50" s="9" t="s">
        <v>374</v>
      </c>
      <c r="S50" s="7"/>
      <c r="T50" s="7"/>
      <c r="U50" s="7"/>
      <c r="V50" s="7"/>
      <c r="W50" s="7"/>
      <c r="X50" s="7"/>
      <c r="Y50" s="7"/>
      <c r="Z50" s="7"/>
      <c r="AA50" s="7"/>
      <c r="AB50" s="7"/>
      <c r="AC50" s="7"/>
      <c r="AD50" s="7"/>
      <c r="AE50" s="7"/>
      <c r="AF50" s="7"/>
      <c r="AG50" s="7"/>
      <c r="AH50" s="7"/>
      <c r="AI50" s="7"/>
      <c r="AJ50" s="7"/>
      <c r="AK50" s="7"/>
      <c r="AL50" s="7"/>
      <c r="AM50" s="7"/>
      <c r="AN50" s="7"/>
      <c r="AO50" s="7"/>
    </row>
    <row r="51" spans="1:41" ht="96" x14ac:dyDescent="0.2">
      <c r="A51" s="7"/>
      <c r="B51" s="8" t="s">
        <v>375</v>
      </c>
      <c r="C51" s="8" t="s">
        <v>376</v>
      </c>
      <c r="D51" s="8" t="s">
        <v>377</v>
      </c>
      <c r="E51" s="8" t="s">
        <v>378</v>
      </c>
      <c r="F51" s="8" t="s">
        <v>379</v>
      </c>
      <c r="G51" s="8" t="s">
        <v>380</v>
      </c>
      <c r="H51" s="8" t="s">
        <v>381</v>
      </c>
      <c r="I51" s="8" t="s">
        <v>382</v>
      </c>
      <c r="J51" s="8" t="s">
        <v>382</v>
      </c>
      <c r="K51" s="96">
        <f t="shared" ref="K51:K56" si="0">SUM(L51:P51)</f>
        <v>3500000</v>
      </c>
      <c r="L51" s="96">
        <v>1500000</v>
      </c>
      <c r="M51" s="96">
        <v>500000</v>
      </c>
      <c r="N51" s="97">
        <v>500000</v>
      </c>
      <c r="O51" s="97">
        <v>500000</v>
      </c>
      <c r="P51" s="97">
        <v>500000</v>
      </c>
      <c r="Q51" s="8" t="s">
        <v>383</v>
      </c>
      <c r="R51" s="8" t="s">
        <v>382</v>
      </c>
      <c r="S51" s="7"/>
      <c r="T51" s="7"/>
      <c r="U51" s="7"/>
      <c r="V51" s="7"/>
      <c r="W51" s="7"/>
      <c r="X51" s="7"/>
      <c r="Y51" s="7"/>
      <c r="Z51" s="7"/>
      <c r="AA51" s="7"/>
      <c r="AB51" s="7"/>
      <c r="AC51" s="7"/>
      <c r="AD51" s="7"/>
      <c r="AE51" s="7"/>
      <c r="AF51" s="7"/>
      <c r="AG51" s="7"/>
      <c r="AH51" s="7"/>
      <c r="AI51" s="7"/>
      <c r="AJ51" s="7"/>
      <c r="AK51" s="7"/>
      <c r="AL51" s="7"/>
      <c r="AM51" s="7"/>
      <c r="AN51" s="7"/>
      <c r="AO51" s="7"/>
    </row>
    <row r="52" spans="1:41" ht="64" x14ac:dyDescent="0.2">
      <c r="A52" s="7"/>
      <c r="B52" s="8" t="s">
        <v>384</v>
      </c>
      <c r="C52" s="8" t="s">
        <v>385</v>
      </c>
      <c r="D52" s="8" t="s">
        <v>386</v>
      </c>
      <c r="E52" s="8" t="s">
        <v>378</v>
      </c>
      <c r="F52" s="8" t="s">
        <v>387</v>
      </c>
      <c r="G52" s="8" t="s">
        <v>380</v>
      </c>
      <c r="H52" s="8" t="s">
        <v>388</v>
      </c>
      <c r="I52" s="8" t="s">
        <v>389</v>
      </c>
      <c r="J52" s="8" t="s">
        <v>382</v>
      </c>
      <c r="K52" s="97">
        <f t="shared" si="0"/>
        <v>900000</v>
      </c>
      <c r="L52" s="96">
        <v>500000</v>
      </c>
      <c r="M52" s="96">
        <v>100000</v>
      </c>
      <c r="N52" s="97">
        <v>100000</v>
      </c>
      <c r="O52" s="97">
        <v>100000</v>
      </c>
      <c r="P52" s="97">
        <v>100000</v>
      </c>
      <c r="Q52" s="8" t="s">
        <v>383</v>
      </c>
      <c r="R52" s="8" t="s">
        <v>382</v>
      </c>
      <c r="S52" s="7"/>
      <c r="T52" s="7"/>
      <c r="U52" s="7"/>
      <c r="V52" s="7"/>
      <c r="W52" s="7"/>
      <c r="X52" s="7"/>
      <c r="Y52" s="7"/>
      <c r="Z52" s="7"/>
      <c r="AA52" s="7"/>
      <c r="AB52" s="7"/>
      <c r="AC52" s="7"/>
      <c r="AD52" s="7"/>
      <c r="AE52" s="7"/>
      <c r="AF52" s="7"/>
      <c r="AG52" s="7"/>
      <c r="AH52" s="7"/>
      <c r="AI52" s="7"/>
      <c r="AJ52" s="7"/>
      <c r="AK52" s="7"/>
      <c r="AL52" s="7"/>
      <c r="AM52" s="7"/>
      <c r="AN52" s="7"/>
      <c r="AO52" s="7"/>
    </row>
    <row r="53" spans="1:41" ht="192" x14ac:dyDescent="0.2">
      <c r="A53" s="7"/>
      <c r="B53" s="8" t="s">
        <v>390</v>
      </c>
      <c r="C53" s="8" t="s">
        <v>376</v>
      </c>
      <c r="D53" s="8" t="s">
        <v>391</v>
      </c>
      <c r="E53" s="8" t="s">
        <v>378</v>
      </c>
      <c r="F53" s="8" t="s">
        <v>392</v>
      </c>
      <c r="G53" s="8" t="s">
        <v>393</v>
      </c>
      <c r="H53" s="8" t="s">
        <v>388</v>
      </c>
      <c r="I53" s="8" t="s">
        <v>394</v>
      </c>
      <c r="J53" s="8" t="s">
        <v>382</v>
      </c>
      <c r="K53" s="97">
        <f t="shared" si="0"/>
        <v>8000000</v>
      </c>
      <c r="L53" s="96">
        <v>2000000</v>
      </c>
      <c r="M53" s="96">
        <v>1500000</v>
      </c>
      <c r="N53" s="97">
        <v>1500000</v>
      </c>
      <c r="O53" s="97">
        <v>1500000</v>
      </c>
      <c r="P53" s="97">
        <v>1500000</v>
      </c>
      <c r="Q53" s="8" t="s">
        <v>383</v>
      </c>
      <c r="R53" s="128" t="s">
        <v>395</v>
      </c>
      <c r="S53" s="7"/>
      <c r="T53" s="7"/>
      <c r="U53" s="7"/>
      <c r="V53" s="7"/>
      <c r="W53" s="7"/>
      <c r="X53" s="7"/>
      <c r="Y53" s="7"/>
      <c r="Z53" s="7"/>
      <c r="AA53" s="7"/>
      <c r="AB53" s="7"/>
      <c r="AC53" s="7"/>
      <c r="AD53" s="7"/>
      <c r="AE53" s="7"/>
      <c r="AF53" s="7"/>
      <c r="AG53" s="7"/>
      <c r="AH53" s="7"/>
      <c r="AI53" s="7"/>
      <c r="AJ53" s="7"/>
      <c r="AK53" s="7"/>
      <c r="AL53" s="7"/>
      <c r="AM53" s="7"/>
      <c r="AN53" s="7"/>
      <c r="AO53" s="7"/>
    </row>
    <row r="54" spans="1:41" ht="256" x14ac:dyDescent="0.2">
      <c r="A54" s="7"/>
      <c r="B54" s="8" t="s">
        <v>396</v>
      </c>
      <c r="C54" s="6" t="s">
        <v>376</v>
      </c>
      <c r="D54" s="6" t="s">
        <v>397</v>
      </c>
      <c r="E54" s="6" t="s">
        <v>378</v>
      </c>
      <c r="F54" s="6" t="s">
        <v>398</v>
      </c>
      <c r="G54" s="8" t="s">
        <v>393</v>
      </c>
      <c r="H54" s="6" t="s">
        <v>388</v>
      </c>
      <c r="I54" s="6" t="s">
        <v>399</v>
      </c>
      <c r="J54" s="6" t="s">
        <v>282</v>
      </c>
      <c r="K54" s="97">
        <f t="shared" si="0"/>
        <v>8000000</v>
      </c>
      <c r="L54" s="97">
        <v>2000000</v>
      </c>
      <c r="M54" s="97">
        <v>1500000</v>
      </c>
      <c r="N54" s="97">
        <v>1500000</v>
      </c>
      <c r="O54" s="97">
        <v>1500000</v>
      </c>
      <c r="P54" s="97">
        <v>1500000</v>
      </c>
      <c r="Q54" s="8" t="s">
        <v>383</v>
      </c>
      <c r="R54" s="6" t="s">
        <v>395</v>
      </c>
      <c r="S54" s="7"/>
      <c r="T54" s="7"/>
      <c r="U54" s="7"/>
      <c r="V54" s="7"/>
      <c r="W54" s="7"/>
      <c r="X54" s="7"/>
      <c r="Y54" s="7"/>
      <c r="Z54" s="7"/>
      <c r="AA54" s="7"/>
      <c r="AB54" s="7"/>
      <c r="AC54" s="7"/>
      <c r="AD54" s="7"/>
      <c r="AE54" s="7"/>
      <c r="AF54" s="7"/>
      <c r="AG54" s="7"/>
      <c r="AH54" s="7"/>
      <c r="AI54" s="7"/>
      <c r="AJ54" s="7"/>
      <c r="AK54" s="7"/>
      <c r="AL54" s="7"/>
      <c r="AM54" s="7"/>
      <c r="AN54" s="7"/>
      <c r="AO54" s="7"/>
    </row>
    <row r="55" spans="1:41" ht="335" x14ac:dyDescent="0.2">
      <c r="A55" s="7"/>
      <c r="B55" s="8" t="s">
        <v>400</v>
      </c>
      <c r="C55" s="6" t="s">
        <v>376</v>
      </c>
      <c r="D55" s="98" t="s">
        <v>401</v>
      </c>
      <c r="E55" s="8" t="s">
        <v>378</v>
      </c>
      <c r="F55" s="128" t="s">
        <v>402</v>
      </c>
      <c r="G55" s="6" t="s">
        <v>403</v>
      </c>
      <c r="H55" s="6" t="s">
        <v>388</v>
      </c>
      <c r="I55" s="8" t="s">
        <v>389</v>
      </c>
      <c r="J55" s="6" t="s">
        <v>282</v>
      </c>
      <c r="K55" s="97">
        <f t="shared" si="0"/>
        <v>3500000</v>
      </c>
      <c r="L55" s="97">
        <v>1500000</v>
      </c>
      <c r="M55" s="97">
        <v>500000</v>
      </c>
      <c r="N55" s="97">
        <v>500000</v>
      </c>
      <c r="O55" s="97">
        <v>500000</v>
      </c>
      <c r="P55" s="97">
        <v>500000</v>
      </c>
      <c r="Q55" s="8" t="s">
        <v>127</v>
      </c>
      <c r="R55" s="6" t="s">
        <v>395</v>
      </c>
      <c r="S55" s="7"/>
      <c r="T55" s="7"/>
      <c r="U55" s="7"/>
      <c r="V55" s="7"/>
      <c r="W55" s="7"/>
      <c r="X55" s="7"/>
      <c r="Y55" s="7"/>
      <c r="Z55" s="7"/>
      <c r="AA55" s="7"/>
      <c r="AB55" s="7"/>
      <c r="AC55" s="7"/>
      <c r="AD55" s="7"/>
      <c r="AE55" s="7"/>
      <c r="AF55" s="7"/>
      <c r="AG55" s="7"/>
      <c r="AH55" s="7"/>
      <c r="AI55" s="7"/>
      <c r="AJ55" s="7"/>
      <c r="AK55" s="7"/>
      <c r="AL55" s="7"/>
      <c r="AM55" s="7"/>
      <c r="AN55" s="7"/>
      <c r="AO55" s="7"/>
    </row>
    <row r="56" spans="1:41" ht="256" x14ac:dyDescent="0.2">
      <c r="A56" s="7"/>
      <c r="B56" s="8" t="s">
        <v>404</v>
      </c>
      <c r="C56" s="8" t="s">
        <v>376</v>
      </c>
      <c r="D56" s="8" t="s">
        <v>405</v>
      </c>
      <c r="E56" s="8" t="s">
        <v>378</v>
      </c>
      <c r="F56" s="8" t="s">
        <v>406</v>
      </c>
      <c r="G56" s="8" t="s">
        <v>407</v>
      </c>
      <c r="H56" s="8" t="s">
        <v>388</v>
      </c>
      <c r="I56" s="8" t="s">
        <v>408</v>
      </c>
      <c r="J56" s="8" t="s">
        <v>282</v>
      </c>
      <c r="K56" s="97">
        <f t="shared" si="0"/>
        <v>6100000</v>
      </c>
      <c r="L56" s="97">
        <v>600000</v>
      </c>
      <c r="M56" s="97">
        <v>1000000</v>
      </c>
      <c r="N56" s="97">
        <v>1500000</v>
      </c>
      <c r="O56" s="97">
        <v>1500000</v>
      </c>
      <c r="P56" s="97">
        <v>1500000</v>
      </c>
      <c r="Q56" s="8" t="s">
        <v>127</v>
      </c>
      <c r="R56" s="6" t="s">
        <v>395</v>
      </c>
      <c r="S56" s="7"/>
      <c r="T56" s="7"/>
      <c r="U56" s="7"/>
      <c r="V56" s="7"/>
      <c r="W56" s="7"/>
      <c r="X56" s="7"/>
      <c r="Y56" s="7"/>
      <c r="Z56" s="7"/>
      <c r="AA56" s="7"/>
      <c r="AB56" s="7"/>
      <c r="AC56" s="7"/>
      <c r="AD56" s="7"/>
      <c r="AE56" s="7"/>
      <c r="AF56" s="7"/>
      <c r="AG56" s="7"/>
      <c r="AH56" s="7"/>
      <c r="AI56" s="7"/>
      <c r="AJ56" s="7"/>
      <c r="AK56" s="7"/>
      <c r="AL56" s="7"/>
      <c r="AM56" s="7"/>
      <c r="AN56" s="7"/>
      <c r="AO56" s="7"/>
    </row>
    <row r="57" spans="1:41" x14ac:dyDescent="0.2">
      <c r="A57" s="7"/>
      <c r="B57" s="8"/>
      <c r="C57" s="6"/>
      <c r="D57" s="6"/>
      <c r="E57" s="6"/>
      <c r="F57" s="6"/>
      <c r="G57" s="6"/>
      <c r="H57" s="6"/>
      <c r="I57" s="6"/>
      <c r="J57" s="6"/>
      <c r="K57" s="6"/>
      <c r="L57" s="6"/>
      <c r="M57" s="6"/>
      <c r="N57" s="6"/>
      <c r="O57" s="6"/>
      <c r="P57" s="6"/>
      <c r="Q57" s="6"/>
      <c r="R57" s="6"/>
      <c r="S57" s="7"/>
      <c r="T57" s="7"/>
      <c r="U57" s="7"/>
      <c r="V57" s="7"/>
      <c r="W57" s="7"/>
      <c r="X57" s="7"/>
      <c r="Y57" s="7"/>
      <c r="Z57" s="7"/>
      <c r="AA57" s="7"/>
      <c r="AB57" s="7"/>
      <c r="AC57" s="7"/>
      <c r="AD57" s="7"/>
      <c r="AE57" s="7"/>
      <c r="AF57" s="7"/>
      <c r="AG57" s="7"/>
      <c r="AH57" s="7"/>
      <c r="AI57" s="7"/>
      <c r="AJ57" s="7"/>
      <c r="AK57" s="7"/>
      <c r="AL57" s="7"/>
      <c r="AM57" s="7"/>
      <c r="AN57" s="7"/>
      <c r="AO57" s="7"/>
    </row>
    <row r="58" spans="1:41" x14ac:dyDescent="0.2">
      <c r="A58" s="7"/>
      <c r="B58" s="8"/>
      <c r="C58" s="6"/>
      <c r="D58" s="6"/>
      <c r="E58" s="6"/>
      <c r="F58" s="6"/>
      <c r="G58" s="6"/>
      <c r="H58" s="6"/>
      <c r="I58" s="6"/>
      <c r="J58" s="6"/>
      <c r="K58" s="6"/>
      <c r="L58" s="6"/>
      <c r="M58" s="6"/>
      <c r="N58" s="6"/>
      <c r="O58" s="6"/>
      <c r="P58" s="6"/>
      <c r="Q58" s="6"/>
      <c r="R58" s="6"/>
      <c r="S58" s="7"/>
      <c r="T58" s="7"/>
      <c r="U58" s="7"/>
      <c r="V58" s="7"/>
      <c r="W58" s="7"/>
      <c r="X58" s="7"/>
      <c r="Y58" s="7"/>
      <c r="Z58" s="7"/>
      <c r="AA58" s="7"/>
      <c r="AB58" s="7"/>
      <c r="AC58" s="7"/>
      <c r="AD58" s="7"/>
      <c r="AE58" s="7"/>
      <c r="AF58" s="7"/>
      <c r="AG58" s="7"/>
      <c r="AH58" s="7"/>
      <c r="AI58" s="7"/>
      <c r="AJ58" s="7"/>
      <c r="AK58" s="7"/>
      <c r="AL58" s="7"/>
      <c r="AM58" s="7"/>
      <c r="AN58" s="7"/>
      <c r="AO58" s="7"/>
    </row>
    <row r="59" spans="1:41" x14ac:dyDescent="0.2">
      <c r="A59" s="7"/>
      <c r="B59" s="8"/>
      <c r="C59" s="8"/>
      <c r="D59" s="8"/>
      <c r="E59" s="8"/>
      <c r="F59" s="8"/>
      <c r="G59" s="8"/>
      <c r="H59" s="8"/>
      <c r="I59" s="8"/>
      <c r="J59" s="6"/>
      <c r="K59" s="6"/>
      <c r="L59" s="6"/>
      <c r="M59" s="6"/>
      <c r="N59" s="6"/>
      <c r="O59" s="6"/>
      <c r="P59" s="6"/>
      <c r="Q59" s="6"/>
      <c r="R59" s="6"/>
      <c r="S59" s="7"/>
      <c r="T59" s="7"/>
      <c r="U59" s="7"/>
      <c r="V59" s="7"/>
      <c r="W59" s="7"/>
      <c r="X59" s="7"/>
      <c r="Y59" s="7"/>
      <c r="Z59" s="7"/>
      <c r="AA59" s="7"/>
      <c r="AB59" s="7"/>
      <c r="AC59" s="7"/>
      <c r="AD59" s="7"/>
      <c r="AE59" s="7"/>
      <c r="AF59" s="7"/>
      <c r="AG59" s="7"/>
      <c r="AH59" s="7"/>
      <c r="AI59" s="7"/>
      <c r="AJ59" s="7"/>
      <c r="AK59" s="7"/>
      <c r="AL59" s="7"/>
      <c r="AM59" s="7"/>
      <c r="AN59" s="7"/>
      <c r="AO59" s="7"/>
    </row>
    <row r="60" spans="1:41" x14ac:dyDescent="0.2">
      <c r="A60" s="7"/>
      <c r="B60" s="8"/>
      <c r="C60" s="8"/>
      <c r="D60" s="8"/>
      <c r="E60" s="8"/>
      <c r="F60" s="8"/>
      <c r="G60" s="8"/>
      <c r="H60" s="8"/>
      <c r="I60" s="8"/>
      <c r="J60" s="6"/>
      <c r="K60" s="6"/>
      <c r="L60" s="6"/>
      <c r="M60" s="6"/>
      <c r="N60" s="6"/>
      <c r="O60" s="6"/>
      <c r="P60" s="6"/>
      <c r="Q60" s="6"/>
      <c r="R60" s="6"/>
      <c r="S60" s="7"/>
      <c r="T60" s="7"/>
      <c r="U60" s="7"/>
      <c r="V60" s="7"/>
      <c r="W60" s="7"/>
      <c r="X60" s="7"/>
      <c r="Y60" s="7"/>
      <c r="Z60" s="7"/>
      <c r="AA60" s="7"/>
      <c r="AB60" s="7"/>
      <c r="AC60" s="7"/>
      <c r="AD60" s="7"/>
      <c r="AE60" s="7"/>
      <c r="AF60" s="7"/>
      <c r="AG60" s="7"/>
      <c r="AH60" s="7"/>
      <c r="AI60" s="7"/>
      <c r="AJ60" s="7"/>
      <c r="AK60" s="7"/>
      <c r="AL60" s="7"/>
      <c r="AM60" s="7"/>
      <c r="AN60" s="7"/>
      <c r="AO60" s="7"/>
    </row>
    <row r="61" spans="1:41" x14ac:dyDescent="0.2">
      <c r="A61" s="7"/>
      <c r="B61" s="8"/>
      <c r="C61" s="8"/>
      <c r="D61" s="8"/>
      <c r="E61" s="8"/>
      <c r="F61" s="8"/>
      <c r="G61" s="8"/>
      <c r="H61" s="8"/>
      <c r="I61" s="8"/>
      <c r="J61" s="6"/>
      <c r="K61" s="6"/>
      <c r="L61" s="6"/>
      <c r="M61" s="6"/>
      <c r="N61" s="6"/>
      <c r="O61" s="6"/>
      <c r="P61" s="6"/>
      <c r="Q61" s="6"/>
      <c r="R61" s="6"/>
      <c r="S61" s="11"/>
      <c r="T61" s="11"/>
      <c r="U61" s="11"/>
      <c r="V61" s="11"/>
      <c r="W61" s="7"/>
      <c r="X61" s="7"/>
      <c r="Y61" s="7"/>
      <c r="Z61" s="7"/>
      <c r="AA61" s="7"/>
      <c r="AB61" s="7"/>
      <c r="AC61" s="7"/>
      <c r="AD61" s="7"/>
      <c r="AE61" s="7"/>
      <c r="AF61" s="7"/>
      <c r="AG61" s="7"/>
      <c r="AH61" s="7"/>
      <c r="AI61" s="7"/>
      <c r="AJ61" s="7"/>
      <c r="AK61" s="7"/>
      <c r="AL61" s="7"/>
      <c r="AM61" s="7"/>
      <c r="AN61" s="7"/>
      <c r="AO61" s="7"/>
    </row>
    <row r="62" spans="1:41" x14ac:dyDescent="0.2">
      <c r="A62" s="7"/>
      <c r="B62" s="7"/>
      <c r="C62" s="7"/>
      <c r="D62" s="7"/>
      <c r="E62" s="7"/>
      <c r="F62" s="7"/>
      <c r="G62" s="7"/>
      <c r="H62" s="7"/>
      <c r="I62" s="7"/>
      <c r="J62" s="7"/>
      <c r="L62" s="7"/>
      <c r="M62" s="7"/>
      <c r="N62" s="7"/>
      <c r="O62" s="7"/>
      <c r="P62" s="7"/>
      <c r="Q62" s="7"/>
      <c r="R62" s="7"/>
      <c r="S62" s="7"/>
      <c r="T62" s="7"/>
      <c r="U62" s="7"/>
      <c r="V62" s="7"/>
      <c r="W62" s="7"/>
      <c r="X62" s="7"/>
      <c r="Y62" s="7"/>
      <c r="Z62" s="7"/>
      <c r="AA62" s="7"/>
      <c r="AB62" s="7"/>
      <c r="AC62" s="7"/>
      <c r="AD62" s="7"/>
      <c r="AE62" s="7"/>
      <c r="AF62" s="7"/>
      <c r="AG62" s="7"/>
      <c r="AH62" s="7"/>
      <c r="AI62" s="7"/>
      <c r="AJ62" s="7"/>
      <c r="AK62" s="7"/>
      <c r="AL62" s="7"/>
      <c r="AM62" s="7"/>
      <c r="AN62" s="7"/>
      <c r="AO62" s="7"/>
    </row>
    <row r="64" spans="1:41" x14ac:dyDescent="0.2">
      <c r="A64" s="7"/>
      <c r="B64" s="210" t="s">
        <v>409</v>
      </c>
      <c r="C64" s="211"/>
      <c r="D64" s="7"/>
      <c r="E64" s="7"/>
      <c r="F64" s="7"/>
      <c r="G64" s="7"/>
      <c r="H64" s="7"/>
      <c r="I64" s="7"/>
      <c r="J64" s="7"/>
      <c r="L64" s="7"/>
      <c r="M64" s="7"/>
      <c r="N64" s="7"/>
      <c r="O64" s="7"/>
      <c r="P64" s="7"/>
      <c r="Q64" s="7"/>
      <c r="R64" s="7"/>
      <c r="S64" s="7"/>
      <c r="T64" s="7"/>
      <c r="U64" s="7"/>
      <c r="V64" s="7"/>
      <c r="W64" s="7"/>
      <c r="X64" s="7"/>
      <c r="Y64" s="7"/>
      <c r="Z64" s="7"/>
      <c r="AA64" s="7"/>
      <c r="AB64" s="7"/>
      <c r="AC64" s="7"/>
      <c r="AD64" s="7"/>
      <c r="AE64" s="7"/>
      <c r="AF64" s="7"/>
      <c r="AG64" s="7"/>
      <c r="AH64" s="7"/>
      <c r="AI64" s="7"/>
      <c r="AJ64" s="7"/>
      <c r="AK64" s="7"/>
      <c r="AL64" s="7"/>
      <c r="AM64" s="7"/>
      <c r="AN64" s="7"/>
      <c r="AO64" s="7"/>
    </row>
    <row r="65" spans="1:41" x14ac:dyDescent="0.2">
      <c r="A65" s="7"/>
      <c r="B65" s="11"/>
      <c r="C65" s="11"/>
      <c r="D65" s="11"/>
      <c r="E65" s="11"/>
      <c r="F65" s="11"/>
      <c r="G65" s="11"/>
      <c r="H65" s="11"/>
      <c r="I65" s="11"/>
      <c r="J65" s="11"/>
      <c r="K65" s="11"/>
      <c r="L65" s="11"/>
      <c r="M65" s="11"/>
      <c r="N65" s="11"/>
      <c r="O65" s="11"/>
      <c r="P65" s="11"/>
      <c r="Q65" s="11"/>
      <c r="R65" s="11"/>
      <c r="S65" s="11"/>
      <c r="T65" s="11"/>
      <c r="U65" s="11"/>
      <c r="V65" s="7"/>
      <c r="W65" s="7"/>
      <c r="X65" s="7"/>
      <c r="Y65" s="7"/>
      <c r="Z65" s="7"/>
      <c r="AA65" s="7"/>
      <c r="AB65" s="7"/>
      <c r="AC65" s="7"/>
      <c r="AD65" s="7"/>
      <c r="AE65" s="7"/>
      <c r="AF65" s="7"/>
      <c r="AG65" s="7"/>
      <c r="AH65" s="7"/>
      <c r="AI65" s="7"/>
      <c r="AJ65" s="7"/>
      <c r="AK65" s="7"/>
      <c r="AL65" s="7"/>
      <c r="AM65" s="7"/>
      <c r="AN65" s="7"/>
      <c r="AO65" s="7"/>
    </row>
    <row r="66" spans="1:41" ht="43" customHeight="1" x14ac:dyDescent="0.2">
      <c r="A66" s="7"/>
      <c r="B66" s="199" t="s">
        <v>410</v>
      </c>
      <c r="C66" s="201"/>
      <c r="D66" s="23"/>
      <c r="E66" s="23"/>
      <c r="F66" s="7"/>
      <c r="G66" s="7"/>
      <c r="H66" s="7"/>
      <c r="I66" s="7"/>
      <c r="J66" s="7"/>
      <c r="L66" s="7"/>
      <c r="M66" s="7"/>
      <c r="N66" s="7"/>
      <c r="O66" s="7"/>
      <c r="P66" s="7"/>
      <c r="Q66" s="7"/>
      <c r="R66" s="7"/>
      <c r="S66" s="7"/>
      <c r="T66" s="7"/>
      <c r="U66" s="7"/>
      <c r="V66" s="7"/>
      <c r="W66" s="7"/>
      <c r="X66" s="7"/>
      <c r="Y66" s="7"/>
      <c r="Z66" s="7"/>
      <c r="AA66" s="7"/>
      <c r="AB66" s="7"/>
      <c r="AC66" s="7"/>
      <c r="AD66" s="7"/>
      <c r="AE66" s="7"/>
      <c r="AF66" s="7"/>
      <c r="AG66" s="7"/>
      <c r="AH66" s="7"/>
      <c r="AI66" s="7"/>
      <c r="AJ66" s="7"/>
      <c r="AK66" s="7"/>
      <c r="AL66" s="7"/>
      <c r="AM66" s="7"/>
      <c r="AN66" s="7"/>
      <c r="AO66" s="7"/>
    </row>
    <row r="67" spans="1:41" x14ac:dyDescent="0.2">
      <c r="A67" s="7"/>
      <c r="B67" s="11"/>
      <c r="C67" s="11"/>
      <c r="D67" s="11"/>
      <c r="E67" s="11"/>
      <c r="F67" s="11"/>
      <c r="G67" s="11"/>
      <c r="H67" s="11"/>
      <c r="I67" s="11"/>
      <c r="J67" s="11"/>
      <c r="K67" s="11"/>
      <c r="L67" s="11"/>
      <c r="M67" s="11"/>
      <c r="N67" s="11"/>
      <c r="O67" s="11"/>
      <c r="P67" s="11"/>
      <c r="Q67" s="11"/>
      <c r="R67" s="11"/>
      <c r="S67" s="11"/>
      <c r="T67" s="11"/>
      <c r="U67" s="11"/>
      <c r="V67" s="7"/>
      <c r="W67" s="7"/>
      <c r="X67" s="7"/>
      <c r="Y67" s="7"/>
      <c r="Z67" s="7"/>
      <c r="AA67" s="7"/>
      <c r="AB67" s="7"/>
      <c r="AC67" s="7"/>
      <c r="AD67" s="7"/>
      <c r="AE67" s="7"/>
      <c r="AF67" s="7"/>
      <c r="AG67" s="7"/>
      <c r="AH67" s="7"/>
      <c r="AI67" s="7"/>
      <c r="AJ67" s="7"/>
      <c r="AK67" s="7"/>
      <c r="AL67" s="7"/>
      <c r="AM67" s="7"/>
      <c r="AN67" s="7"/>
      <c r="AO67" s="7"/>
    </row>
    <row r="68" spans="1:41" s="7" customFormat="1" ht="48" x14ac:dyDescent="0.2">
      <c r="B68" s="9" t="s">
        <v>411</v>
      </c>
      <c r="C68" s="9" t="s">
        <v>412</v>
      </c>
      <c r="D68" s="138"/>
    </row>
    <row r="69" spans="1:41" ht="16" x14ac:dyDescent="0.2">
      <c r="A69" s="7"/>
      <c r="B69" s="136" t="s">
        <v>413</v>
      </c>
      <c r="C69" s="129">
        <f>SUM('6.0  Pricing'!C68:F68)</f>
        <v>1800000</v>
      </c>
      <c r="D69" s="11"/>
      <c r="E69" s="11"/>
      <c r="F69" s="11"/>
      <c r="G69" s="11"/>
      <c r="H69" s="11"/>
      <c r="I69" s="11"/>
      <c r="J69" s="11"/>
      <c r="K69" s="11"/>
      <c r="L69" s="11"/>
      <c r="M69" s="11"/>
      <c r="N69" s="11"/>
      <c r="O69" s="11"/>
      <c r="P69" s="11"/>
      <c r="Q69" s="11"/>
      <c r="R69" s="11"/>
      <c r="S69" s="11"/>
      <c r="T69" s="11"/>
      <c r="U69" s="11"/>
      <c r="V69" s="7"/>
      <c r="W69" s="7"/>
      <c r="X69" s="7"/>
      <c r="Y69" s="7"/>
      <c r="Z69" s="7"/>
      <c r="AA69" s="7"/>
      <c r="AB69" s="7"/>
      <c r="AC69" s="7"/>
      <c r="AD69" s="7"/>
      <c r="AE69" s="7"/>
      <c r="AF69" s="7"/>
      <c r="AG69" s="7"/>
      <c r="AH69" s="7"/>
      <c r="AI69" s="7"/>
      <c r="AJ69" s="7"/>
      <c r="AK69" s="7"/>
      <c r="AL69" s="7"/>
      <c r="AM69" s="7"/>
      <c r="AN69" s="7"/>
      <c r="AO69" s="7"/>
    </row>
    <row r="70" spans="1:41" s="7" customFormat="1" ht="16" x14ac:dyDescent="0.2">
      <c r="B70" s="136" t="s">
        <v>414</v>
      </c>
      <c r="C70" s="129">
        <f>SUM('6.0  Pricing'!C69:V69)</f>
        <v>500000</v>
      </c>
      <c r="D70" s="11"/>
      <c r="E70" s="11"/>
      <c r="F70" s="11"/>
      <c r="G70" s="11"/>
      <c r="H70" s="11"/>
      <c r="I70" s="11"/>
      <c r="J70" s="11"/>
      <c r="K70" s="11"/>
      <c r="L70" s="11"/>
      <c r="M70" s="11"/>
      <c r="N70" s="11"/>
      <c r="O70" s="11"/>
      <c r="P70" s="11"/>
      <c r="Q70" s="11"/>
      <c r="R70" s="11"/>
      <c r="S70" s="11"/>
      <c r="T70" s="11"/>
      <c r="U70" s="11"/>
    </row>
    <row r="71" spans="1:41" ht="16" x14ac:dyDescent="0.2">
      <c r="A71" s="7"/>
      <c r="B71" s="136" t="s">
        <v>415</v>
      </c>
      <c r="C71" s="137">
        <v>750000</v>
      </c>
      <c r="D71" s="7"/>
      <c r="E71" s="7"/>
      <c r="F71" s="7"/>
      <c r="G71" s="7"/>
      <c r="H71" s="7"/>
      <c r="I71" s="7"/>
      <c r="J71" s="7"/>
      <c r="L71" s="7"/>
      <c r="M71" s="7"/>
      <c r="N71" s="7"/>
      <c r="O71" s="7"/>
      <c r="P71" s="7"/>
      <c r="Q71" s="7"/>
      <c r="R71" s="7"/>
      <c r="S71" s="7"/>
      <c r="T71" s="7"/>
      <c r="U71" s="7"/>
      <c r="V71" s="7"/>
      <c r="W71" s="7"/>
      <c r="X71" s="7"/>
      <c r="Y71" s="7"/>
      <c r="Z71" s="7"/>
      <c r="AA71" s="7"/>
      <c r="AB71" s="7"/>
      <c r="AC71" s="7"/>
      <c r="AD71" s="7"/>
      <c r="AE71" s="7"/>
      <c r="AF71" s="7"/>
      <c r="AG71" s="7"/>
      <c r="AH71" s="7"/>
      <c r="AI71" s="7"/>
      <c r="AJ71" s="7"/>
      <c r="AK71" s="7"/>
      <c r="AL71" s="7"/>
      <c r="AM71" s="7"/>
      <c r="AN71" s="7"/>
      <c r="AO71" s="7"/>
    </row>
    <row r="72" spans="1:41" ht="16" x14ac:dyDescent="0.2">
      <c r="A72" s="7"/>
      <c r="B72" s="136" t="s">
        <v>417</v>
      </c>
      <c r="C72" s="137">
        <v>6000000</v>
      </c>
      <c r="D72" s="7"/>
      <c r="E72" s="7"/>
      <c r="F72" s="7"/>
      <c r="G72" s="7"/>
      <c r="H72" s="7"/>
      <c r="I72" s="7"/>
      <c r="J72" s="7"/>
      <c r="L72" s="7"/>
      <c r="M72" s="7"/>
      <c r="N72" s="7"/>
      <c r="O72" s="7"/>
      <c r="P72" s="7"/>
      <c r="Q72" s="7"/>
      <c r="R72" s="7"/>
      <c r="S72" s="7"/>
      <c r="T72" s="7"/>
      <c r="U72" s="7"/>
      <c r="V72" s="7"/>
      <c r="W72" s="7"/>
      <c r="X72" s="7"/>
      <c r="Y72" s="7"/>
      <c r="Z72" s="7"/>
      <c r="AA72" s="7"/>
      <c r="AB72" s="7"/>
      <c r="AC72" s="7"/>
      <c r="AD72" s="7"/>
      <c r="AE72" s="7"/>
      <c r="AF72" s="7"/>
      <c r="AG72" s="7"/>
      <c r="AH72" s="7"/>
      <c r="AI72" s="7"/>
      <c r="AJ72" s="7"/>
      <c r="AK72" s="7"/>
      <c r="AL72" s="7"/>
      <c r="AM72" s="7"/>
      <c r="AN72" s="7"/>
      <c r="AO72" s="7"/>
    </row>
    <row r="73" spans="1:41" ht="32" x14ac:dyDescent="0.2">
      <c r="A73" s="7"/>
      <c r="B73" s="136" t="s">
        <v>806</v>
      </c>
      <c r="C73" s="137">
        <v>1500000</v>
      </c>
      <c r="D73" s="7"/>
      <c r="E73" s="7"/>
      <c r="F73" s="7"/>
      <c r="G73" s="7"/>
      <c r="H73" s="7"/>
      <c r="I73" s="7"/>
      <c r="J73" s="7"/>
      <c r="L73" s="7"/>
      <c r="M73" s="7"/>
      <c r="N73" s="7"/>
      <c r="O73" s="7"/>
      <c r="P73" s="7"/>
      <c r="Q73" s="7"/>
      <c r="R73" s="7"/>
      <c r="S73" s="7"/>
      <c r="T73" s="7"/>
      <c r="U73" s="7"/>
      <c r="V73" s="7"/>
      <c r="W73" s="7"/>
      <c r="X73" s="7"/>
      <c r="Y73" s="7"/>
      <c r="Z73" s="7"/>
      <c r="AA73" s="7"/>
      <c r="AB73" s="7"/>
      <c r="AC73" s="7"/>
      <c r="AD73" s="7"/>
      <c r="AE73" s="7"/>
      <c r="AF73" s="7"/>
      <c r="AG73" s="7"/>
      <c r="AH73" s="7"/>
      <c r="AI73" s="7"/>
      <c r="AJ73" s="7"/>
      <c r="AK73" s="7"/>
      <c r="AL73" s="7"/>
      <c r="AM73" s="7"/>
      <c r="AN73" s="7"/>
      <c r="AO73" s="7"/>
    </row>
    <row r="74" spans="1:41" s="7" customFormat="1" ht="16" x14ac:dyDescent="0.2">
      <c r="B74" s="136" t="s">
        <v>418</v>
      </c>
      <c r="C74" s="137">
        <v>750000</v>
      </c>
    </row>
    <row r="75" spans="1:41" s="7" customFormat="1" x14ac:dyDescent="0.2">
      <c r="B75" s="136"/>
      <c r="C75" s="137"/>
    </row>
    <row r="76" spans="1:41" ht="16" x14ac:dyDescent="0.2">
      <c r="A76" s="7"/>
      <c r="B76" s="14" t="s">
        <v>419</v>
      </c>
      <c r="C76" s="147">
        <f>SUM(C69:C74)</f>
        <v>11300000</v>
      </c>
      <c r="D76" s="7"/>
      <c r="E76" s="7"/>
      <c r="F76" s="7"/>
      <c r="G76" s="7"/>
      <c r="H76" s="7"/>
      <c r="I76" s="7"/>
      <c r="J76" s="7"/>
      <c r="L76" s="7"/>
      <c r="M76" s="7"/>
      <c r="N76" s="7"/>
      <c r="O76" s="7"/>
      <c r="P76" s="7"/>
      <c r="Q76" s="7"/>
      <c r="R76" s="7"/>
      <c r="S76" s="7"/>
      <c r="T76" s="7"/>
      <c r="U76" s="7"/>
      <c r="V76" s="7"/>
      <c r="W76" s="7"/>
      <c r="X76" s="7"/>
      <c r="Y76" s="7"/>
      <c r="Z76" s="7"/>
      <c r="AA76" s="7"/>
      <c r="AB76" s="7"/>
      <c r="AC76" s="7"/>
      <c r="AD76" s="7"/>
      <c r="AE76" s="7"/>
      <c r="AF76" s="7"/>
      <c r="AG76" s="7"/>
      <c r="AH76" s="7"/>
      <c r="AI76" s="7"/>
      <c r="AJ76" s="7"/>
      <c r="AK76" s="7"/>
      <c r="AL76" s="7"/>
      <c r="AM76" s="7"/>
      <c r="AN76" s="7"/>
      <c r="AO76" s="7"/>
    </row>
    <row r="77" spans="1:41" x14ac:dyDescent="0.2">
      <c r="A77" s="7"/>
      <c r="B77" s="7"/>
      <c r="C77" s="7"/>
      <c r="D77" s="7"/>
      <c r="E77" s="7"/>
      <c r="F77" s="7"/>
      <c r="G77" s="7"/>
      <c r="H77" s="7"/>
      <c r="I77" s="7"/>
      <c r="J77" s="7"/>
      <c r="L77" s="7"/>
      <c r="M77" s="7"/>
      <c r="N77" s="7"/>
      <c r="O77" s="7"/>
      <c r="P77" s="7"/>
      <c r="Q77" s="7"/>
      <c r="R77" s="7"/>
      <c r="S77" s="7"/>
      <c r="T77" s="7"/>
      <c r="U77" s="7"/>
      <c r="V77" s="7"/>
      <c r="W77" s="7"/>
      <c r="X77" s="7"/>
      <c r="Y77" s="7"/>
      <c r="Z77" s="7"/>
      <c r="AA77" s="7"/>
      <c r="AB77" s="7"/>
      <c r="AC77" s="7"/>
      <c r="AD77" s="7"/>
      <c r="AE77" s="7"/>
      <c r="AF77" s="7"/>
      <c r="AG77" s="7"/>
      <c r="AH77" s="7"/>
      <c r="AI77" s="7"/>
      <c r="AJ77" s="7"/>
      <c r="AK77" s="7"/>
      <c r="AL77" s="7"/>
      <c r="AM77" s="7"/>
      <c r="AN77" s="7"/>
      <c r="AO77" s="7"/>
    </row>
    <row r="78" spans="1:41" s="7" customFormat="1" x14ac:dyDescent="0.2">
      <c r="B78" s="205" t="s">
        <v>420</v>
      </c>
      <c r="C78" s="206"/>
      <c r="D78" s="206"/>
    </row>
    <row r="79" spans="1:41" x14ac:dyDescent="0.2">
      <c r="A79" s="7"/>
      <c r="B79" s="56"/>
      <c r="C79" s="57"/>
      <c r="D79" s="17"/>
      <c r="E79" s="17"/>
      <c r="F79" s="11"/>
      <c r="G79" s="11"/>
      <c r="H79" s="11"/>
      <c r="I79" s="11"/>
      <c r="J79" s="11"/>
      <c r="K79" s="11"/>
      <c r="L79" s="11"/>
      <c r="M79" s="11"/>
      <c r="N79" s="11"/>
      <c r="O79" s="11"/>
      <c r="P79" s="11"/>
      <c r="Q79" s="11"/>
      <c r="R79" s="11"/>
      <c r="S79" s="11"/>
      <c r="T79" s="11"/>
      <c r="U79" s="11"/>
      <c r="V79" s="7"/>
      <c r="W79" s="7"/>
      <c r="X79" s="7"/>
      <c r="Y79" s="7"/>
      <c r="Z79" s="7"/>
      <c r="AA79" s="7"/>
      <c r="AB79" s="7"/>
      <c r="AC79" s="7"/>
      <c r="AD79" s="7"/>
      <c r="AE79" s="7"/>
      <c r="AF79" s="7"/>
      <c r="AG79" s="7"/>
      <c r="AH79" s="7"/>
      <c r="AI79" s="7"/>
      <c r="AJ79" s="7"/>
      <c r="AK79" s="7"/>
      <c r="AL79" s="7"/>
      <c r="AM79" s="7"/>
      <c r="AN79" s="7"/>
      <c r="AO79" s="7"/>
    </row>
    <row r="80" spans="1:41" s="7" customFormat="1" ht="14.5" customHeight="1" x14ac:dyDescent="0.2">
      <c r="B80" s="199" t="s">
        <v>421</v>
      </c>
      <c r="C80" s="200"/>
      <c r="D80" s="201"/>
    </row>
    <row r="81" spans="1:41" x14ac:dyDescent="0.2">
      <c r="A81" s="7"/>
      <c r="B81" s="17"/>
      <c r="C81" s="17"/>
      <c r="D81" s="17"/>
      <c r="E81" s="11"/>
      <c r="F81" s="11"/>
      <c r="G81" s="11"/>
      <c r="H81" s="11"/>
      <c r="I81" s="11"/>
      <c r="J81" s="11"/>
      <c r="K81" s="11"/>
      <c r="L81" s="11"/>
      <c r="M81" s="11"/>
      <c r="N81" s="11"/>
      <c r="O81" s="11"/>
      <c r="P81" s="11"/>
      <c r="Q81" s="11"/>
      <c r="R81" s="11"/>
      <c r="S81" s="11"/>
      <c r="T81" s="11"/>
      <c r="U81" s="11"/>
      <c r="V81" s="7"/>
      <c r="W81" s="7"/>
      <c r="X81" s="7"/>
      <c r="Y81" s="7"/>
      <c r="Z81" s="7"/>
      <c r="AA81" s="7"/>
      <c r="AB81" s="7"/>
      <c r="AC81" s="7"/>
      <c r="AD81" s="7"/>
      <c r="AE81" s="7"/>
      <c r="AF81" s="7"/>
      <c r="AG81" s="7"/>
      <c r="AH81" s="7"/>
      <c r="AI81" s="7"/>
      <c r="AJ81" s="7"/>
      <c r="AK81" s="7"/>
      <c r="AL81" s="7"/>
      <c r="AM81" s="7"/>
      <c r="AN81" s="7"/>
      <c r="AO81" s="7"/>
    </row>
    <row r="82" spans="1:41" s="7" customFormat="1" ht="16" x14ac:dyDescent="0.2">
      <c r="B82" s="9" t="s">
        <v>422</v>
      </c>
      <c r="C82" s="9" t="s">
        <v>423</v>
      </c>
      <c r="D82" s="9" t="s">
        <v>424</v>
      </c>
    </row>
    <row r="83" spans="1:41" ht="16" x14ac:dyDescent="0.2">
      <c r="A83" s="7"/>
      <c r="B83" s="14" t="s">
        <v>425</v>
      </c>
      <c r="C83" s="109"/>
      <c r="D83" s="109"/>
      <c r="E83" s="11"/>
      <c r="F83" s="11"/>
      <c r="G83" s="11"/>
      <c r="H83" s="11"/>
      <c r="I83" s="11"/>
      <c r="J83" s="11"/>
      <c r="K83" s="11"/>
      <c r="L83" s="11"/>
      <c r="M83" s="11"/>
      <c r="N83" s="11"/>
      <c r="O83" s="11"/>
      <c r="P83" s="11"/>
      <c r="Q83" s="11"/>
      <c r="R83" s="11"/>
      <c r="S83" s="11"/>
      <c r="T83" s="11"/>
      <c r="U83" s="11"/>
      <c r="V83" s="7"/>
      <c r="W83" s="7"/>
      <c r="X83" s="7"/>
      <c r="Y83" s="7"/>
      <c r="Z83" s="7"/>
      <c r="AA83" s="7"/>
      <c r="AB83" s="7"/>
      <c r="AC83" s="7"/>
      <c r="AD83" s="7"/>
      <c r="AE83" s="7"/>
      <c r="AF83" s="7"/>
      <c r="AG83" s="7"/>
      <c r="AH83" s="7"/>
      <c r="AI83" s="7"/>
      <c r="AJ83" s="7"/>
      <c r="AK83" s="7"/>
      <c r="AL83" s="7"/>
      <c r="AM83" s="7"/>
      <c r="AN83" s="7"/>
      <c r="AO83" s="7"/>
    </row>
    <row r="84" spans="1:41" ht="16" x14ac:dyDescent="0.2">
      <c r="A84" s="7"/>
      <c r="B84" s="107" t="s">
        <v>426</v>
      </c>
      <c r="C84" s="110" t="s">
        <v>427</v>
      </c>
      <c r="D84" s="110" t="s">
        <v>427</v>
      </c>
      <c r="E84" s="7"/>
      <c r="F84" s="7"/>
      <c r="G84" s="7"/>
      <c r="H84" s="7"/>
      <c r="I84" s="7"/>
      <c r="J84" s="7"/>
      <c r="L84" s="7"/>
      <c r="M84" s="7"/>
      <c r="N84" s="7"/>
      <c r="O84" s="7"/>
      <c r="P84" s="7"/>
      <c r="Q84" s="7"/>
      <c r="R84" s="7"/>
      <c r="S84" s="7"/>
      <c r="T84" s="7"/>
      <c r="U84" s="7"/>
      <c r="V84" s="7"/>
      <c r="W84" s="7"/>
      <c r="X84" s="7"/>
      <c r="Y84" s="7"/>
      <c r="Z84" s="7"/>
      <c r="AA84" s="7"/>
      <c r="AB84" s="7"/>
      <c r="AC84" s="7"/>
      <c r="AD84" s="7"/>
      <c r="AE84" s="7"/>
      <c r="AF84" s="7"/>
      <c r="AG84" s="7"/>
      <c r="AH84" s="7"/>
      <c r="AI84" s="7"/>
      <c r="AJ84" s="7"/>
      <c r="AK84" s="7"/>
      <c r="AL84" s="7"/>
      <c r="AM84" s="7"/>
      <c r="AN84" s="7"/>
      <c r="AO84" s="7"/>
    </row>
    <row r="85" spans="1:41" s="7" customFormat="1" ht="16" x14ac:dyDescent="0.2">
      <c r="B85" s="107" t="s">
        <v>428</v>
      </c>
      <c r="C85" s="110" t="s">
        <v>427</v>
      </c>
      <c r="D85" s="110" t="s">
        <v>427</v>
      </c>
    </row>
    <row r="86" spans="1:41" s="7" customFormat="1" ht="16" x14ac:dyDescent="0.2">
      <c r="B86" s="107" t="s">
        <v>429</v>
      </c>
      <c r="C86" s="110"/>
      <c r="D86" s="110" t="s">
        <v>427</v>
      </c>
    </row>
    <row r="87" spans="1:41" s="7" customFormat="1" ht="16" x14ac:dyDescent="0.2">
      <c r="B87" s="107" t="s">
        <v>430</v>
      </c>
      <c r="C87" s="110"/>
      <c r="D87" s="110" t="s">
        <v>427</v>
      </c>
    </row>
    <row r="88" spans="1:41" ht="16" x14ac:dyDescent="0.2">
      <c r="A88" s="7"/>
      <c r="B88" s="107" t="s">
        <v>431</v>
      </c>
      <c r="C88" s="110"/>
      <c r="D88" s="110" t="s">
        <v>427</v>
      </c>
      <c r="E88" s="7"/>
      <c r="F88" s="7"/>
      <c r="G88" s="7"/>
      <c r="H88" s="7"/>
      <c r="I88" s="7"/>
      <c r="J88" s="7"/>
      <c r="L88" s="7"/>
      <c r="M88" s="7"/>
      <c r="N88" s="7"/>
      <c r="O88" s="7"/>
      <c r="P88" s="7"/>
      <c r="Q88" s="7"/>
      <c r="R88" s="7"/>
      <c r="S88" s="7"/>
      <c r="T88" s="7"/>
      <c r="U88" s="7"/>
      <c r="V88" s="7"/>
      <c r="W88" s="7"/>
      <c r="X88" s="7"/>
      <c r="Y88" s="7"/>
      <c r="Z88" s="7"/>
      <c r="AA88" s="7"/>
      <c r="AB88" s="7"/>
      <c r="AC88" s="7"/>
      <c r="AD88" s="7"/>
      <c r="AE88" s="7"/>
      <c r="AF88" s="7"/>
      <c r="AG88" s="7"/>
      <c r="AH88" s="7"/>
      <c r="AI88" s="7"/>
      <c r="AJ88" s="7"/>
      <c r="AK88" s="7"/>
      <c r="AL88" s="7"/>
      <c r="AM88" s="7"/>
      <c r="AN88" s="7"/>
      <c r="AO88" s="7"/>
    </row>
    <row r="89" spans="1:41" ht="16" x14ac:dyDescent="0.2">
      <c r="A89" s="7"/>
      <c r="B89" s="107" t="s">
        <v>432</v>
      </c>
      <c r="C89" s="110"/>
      <c r="D89" s="110" t="s">
        <v>427</v>
      </c>
      <c r="E89" s="7"/>
      <c r="F89" s="7"/>
      <c r="G89" s="7"/>
      <c r="H89" s="7"/>
      <c r="I89" s="7"/>
      <c r="J89" s="7"/>
      <c r="L89" s="7"/>
      <c r="M89" s="7"/>
      <c r="N89" s="7"/>
      <c r="O89" s="7"/>
      <c r="P89" s="7"/>
      <c r="Q89" s="7"/>
      <c r="R89" s="7"/>
      <c r="S89" s="7"/>
      <c r="T89" s="7"/>
      <c r="U89" s="7"/>
      <c r="V89" s="7"/>
      <c r="W89" s="7"/>
      <c r="X89" s="7"/>
      <c r="Y89" s="7"/>
      <c r="Z89" s="7"/>
      <c r="AA89" s="7"/>
      <c r="AB89" s="7"/>
      <c r="AC89" s="7"/>
      <c r="AD89" s="7"/>
      <c r="AE89" s="7"/>
      <c r="AF89" s="7"/>
      <c r="AG89" s="7"/>
      <c r="AH89" s="7"/>
      <c r="AI89" s="7"/>
      <c r="AJ89" s="7"/>
      <c r="AK89" s="7"/>
      <c r="AL89" s="7"/>
      <c r="AM89" s="7"/>
      <c r="AN89" s="7"/>
      <c r="AO89" s="7"/>
    </row>
    <row r="90" spans="1:41" ht="16" x14ac:dyDescent="0.2">
      <c r="A90" s="7"/>
      <c r="B90" s="108" t="s">
        <v>433</v>
      </c>
      <c r="C90" s="108"/>
      <c r="D90" s="108"/>
      <c r="E90" s="7"/>
      <c r="F90" s="7"/>
      <c r="G90" s="7"/>
      <c r="H90" s="7"/>
      <c r="I90" s="7"/>
      <c r="J90" s="7"/>
      <c r="L90" s="7"/>
      <c r="M90" s="7"/>
      <c r="N90" s="7"/>
      <c r="O90" s="7"/>
      <c r="P90" s="7"/>
      <c r="Q90" s="7"/>
      <c r="R90" s="7"/>
      <c r="S90" s="7"/>
      <c r="T90" s="7"/>
      <c r="U90" s="7"/>
      <c r="V90" s="7"/>
      <c r="W90" s="7"/>
      <c r="X90" s="7"/>
      <c r="Y90" s="7"/>
      <c r="Z90" s="7"/>
      <c r="AA90" s="7"/>
      <c r="AB90" s="7"/>
      <c r="AC90" s="7"/>
      <c r="AD90" s="7"/>
      <c r="AE90" s="7"/>
      <c r="AF90" s="7"/>
      <c r="AG90" s="7"/>
      <c r="AH90" s="7"/>
      <c r="AI90" s="7"/>
      <c r="AJ90" s="7"/>
      <c r="AK90" s="7"/>
      <c r="AL90" s="7"/>
      <c r="AM90" s="7"/>
      <c r="AN90" s="7"/>
      <c r="AO90" s="7"/>
    </row>
    <row r="91" spans="1:41" ht="16" x14ac:dyDescent="0.2">
      <c r="A91" s="7"/>
      <c r="B91" s="107" t="s">
        <v>434</v>
      </c>
      <c r="C91" s="110"/>
      <c r="D91" s="110" t="s">
        <v>427</v>
      </c>
      <c r="E91" s="7"/>
      <c r="F91" s="7"/>
      <c r="G91" s="7"/>
      <c r="H91" s="7"/>
      <c r="I91" s="7"/>
      <c r="J91" s="7"/>
      <c r="L91" s="7"/>
      <c r="M91" s="7"/>
      <c r="N91" s="7"/>
      <c r="O91" s="7"/>
      <c r="P91" s="7"/>
      <c r="Q91" s="7"/>
      <c r="R91" s="7"/>
      <c r="S91" s="7"/>
      <c r="T91" s="7"/>
      <c r="U91" s="7"/>
      <c r="V91" s="7"/>
      <c r="W91" s="7"/>
      <c r="X91" s="7"/>
      <c r="Y91" s="7"/>
      <c r="Z91" s="7"/>
      <c r="AA91" s="7"/>
      <c r="AB91" s="7"/>
      <c r="AC91" s="7"/>
      <c r="AD91" s="7"/>
      <c r="AE91" s="7"/>
      <c r="AF91" s="7"/>
      <c r="AG91" s="7"/>
      <c r="AH91" s="7"/>
      <c r="AI91" s="7"/>
      <c r="AJ91" s="7"/>
      <c r="AK91" s="7"/>
      <c r="AL91" s="7"/>
      <c r="AM91" s="7"/>
      <c r="AN91" s="7"/>
      <c r="AO91" s="7"/>
    </row>
    <row r="92" spans="1:41" ht="16" x14ac:dyDescent="0.2">
      <c r="A92" s="7"/>
      <c r="B92" s="107" t="s">
        <v>435</v>
      </c>
      <c r="C92" s="110"/>
      <c r="D92" s="110" t="s">
        <v>427</v>
      </c>
      <c r="E92" s="7"/>
      <c r="F92" s="7"/>
      <c r="G92" s="7"/>
      <c r="H92" s="7"/>
      <c r="I92" s="7"/>
      <c r="J92" s="7"/>
      <c r="L92" s="7"/>
      <c r="M92" s="7"/>
      <c r="N92" s="7"/>
      <c r="O92" s="7"/>
      <c r="P92" s="7"/>
      <c r="Q92" s="7"/>
      <c r="R92" s="7"/>
      <c r="S92" s="7"/>
      <c r="T92" s="7"/>
      <c r="U92" s="7"/>
      <c r="V92" s="7"/>
      <c r="W92" s="7"/>
      <c r="X92" s="7"/>
      <c r="Y92" s="7"/>
      <c r="Z92" s="7"/>
      <c r="AA92" s="7"/>
      <c r="AB92" s="7"/>
      <c r="AC92" s="7"/>
      <c r="AD92" s="7"/>
      <c r="AE92" s="7"/>
      <c r="AF92" s="7"/>
      <c r="AG92" s="7"/>
      <c r="AH92" s="7"/>
      <c r="AI92" s="7"/>
      <c r="AJ92" s="7"/>
      <c r="AK92" s="7"/>
      <c r="AL92" s="7"/>
      <c r="AM92" s="7"/>
      <c r="AN92" s="7"/>
      <c r="AO92" s="7"/>
    </row>
    <row r="93" spans="1:41" ht="16" x14ac:dyDescent="0.2">
      <c r="A93" s="7"/>
      <c r="B93" s="107" t="s">
        <v>436</v>
      </c>
      <c r="C93" s="110" t="s">
        <v>427</v>
      </c>
      <c r="D93" s="110" t="s">
        <v>427</v>
      </c>
      <c r="E93" s="7"/>
      <c r="F93" s="7"/>
      <c r="G93" s="7"/>
      <c r="H93" s="7"/>
      <c r="I93" s="7"/>
      <c r="J93" s="7"/>
      <c r="L93" s="7"/>
      <c r="M93" s="7"/>
      <c r="N93" s="7"/>
      <c r="O93" s="7"/>
      <c r="P93" s="7"/>
      <c r="Q93" s="7"/>
      <c r="R93" s="7"/>
      <c r="S93" s="7"/>
      <c r="T93" s="7"/>
      <c r="U93" s="7"/>
      <c r="V93" s="7"/>
      <c r="W93" s="7"/>
      <c r="X93" s="7"/>
      <c r="Y93" s="7"/>
      <c r="Z93" s="7"/>
      <c r="AA93" s="7"/>
      <c r="AB93" s="7"/>
      <c r="AC93" s="7"/>
      <c r="AD93" s="7"/>
      <c r="AE93" s="7"/>
      <c r="AF93" s="7"/>
      <c r="AG93" s="7"/>
      <c r="AH93" s="7"/>
      <c r="AI93" s="7"/>
      <c r="AJ93" s="7"/>
      <c r="AK93" s="7"/>
      <c r="AL93" s="7"/>
      <c r="AM93" s="7"/>
      <c r="AN93" s="7"/>
      <c r="AO93" s="7"/>
    </row>
    <row r="94" spans="1:41" ht="16" x14ac:dyDescent="0.2">
      <c r="A94" s="7"/>
      <c r="B94" s="107" t="s">
        <v>437</v>
      </c>
      <c r="C94" s="110"/>
      <c r="D94" s="110" t="s">
        <v>427</v>
      </c>
      <c r="E94" s="7"/>
      <c r="F94" s="7"/>
      <c r="G94" s="7"/>
      <c r="H94" s="7"/>
      <c r="I94" s="7"/>
      <c r="J94" s="7"/>
      <c r="L94" s="7"/>
      <c r="M94" s="7"/>
      <c r="N94" s="7"/>
      <c r="O94" s="7"/>
      <c r="P94" s="7"/>
      <c r="Q94" s="7"/>
      <c r="R94" s="7"/>
      <c r="S94" s="7"/>
      <c r="T94" s="7"/>
      <c r="U94" s="7"/>
      <c r="V94" s="7"/>
      <c r="W94" s="7"/>
      <c r="X94" s="7"/>
      <c r="Y94" s="7"/>
      <c r="Z94" s="7"/>
      <c r="AA94" s="7"/>
      <c r="AB94" s="7"/>
      <c r="AC94" s="7"/>
      <c r="AD94" s="7"/>
      <c r="AE94" s="7"/>
      <c r="AF94" s="7"/>
      <c r="AG94" s="7"/>
      <c r="AH94" s="7"/>
      <c r="AI94" s="7"/>
      <c r="AJ94" s="7"/>
      <c r="AK94" s="7"/>
      <c r="AL94" s="7"/>
      <c r="AM94" s="7"/>
      <c r="AN94" s="7"/>
      <c r="AO94" s="7"/>
    </row>
    <row r="95" spans="1:41" ht="16" x14ac:dyDescent="0.2">
      <c r="A95" s="7"/>
      <c r="B95" s="107" t="s">
        <v>438</v>
      </c>
      <c r="C95" s="110"/>
      <c r="D95" s="110" t="s">
        <v>427</v>
      </c>
      <c r="E95" s="7"/>
      <c r="F95" s="7"/>
      <c r="G95" s="7"/>
      <c r="H95" s="7"/>
      <c r="I95" s="7"/>
      <c r="J95" s="7"/>
      <c r="L95" s="7"/>
      <c r="M95" s="7"/>
      <c r="N95" s="7"/>
      <c r="O95" s="7"/>
      <c r="P95" s="7"/>
      <c r="Q95" s="7"/>
      <c r="R95" s="7"/>
      <c r="S95" s="7"/>
      <c r="T95" s="7"/>
      <c r="U95" s="7"/>
      <c r="V95" s="7"/>
      <c r="W95" s="7"/>
      <c r="X95" s="7"/>
      <c r="Y95" s="7"/>
      <c r="Z95" s="7"/>
      <c r="AA95" s="7"/>
      <c r="AB95" s="7"/>
      <c r="AC95" s="7"/>
      <c r="AD95" s="7"/>
      <c r="AE95" s="7"/>
      <c r="AF95" s="7"/>
      <c r="AG95" s="7"/>
      <c r="AH95" s="7"/>
      <c r="AI95" s="7"/>
      <c r="AJ95" s="7"/>
      <c r="AK95" s="7"/>
      <c r="AL95" s="7"/>
      <c r="AM95" s="7"/>
      <c r="AN95" s="7"/>
      <c r="AO95" s="7"/>
    </row>
    <row r="96" spans="1:41" ht="16" x14ac:dyDescent="0.2">
      <c r="A96" s="7"/>
      <c r="B96" s="108" t="s">
        <v>439</v>
      </c>
      <c r="C96" s="108"/>
      <c r="D96" s="108"/>
      <c r="E96" s="7"/>
      <c r="F96" s="7"/>
      <c r="G96" s="7"/>
      <c r="H96" s="7"/>
      <c r="I96" s="7"/>
      <c r="J96" s="7"/>
      <c r="L96" s="7"/>
      <c r="M96" s="7"/>
      <c r="N96" s="7"/>
      <c r="O96" s="7"/>
      <c r="P96" s="7"/>
      <c r="Q96" s="7"/>
      <c r="R96" s="7"/>
      <c r="S96" s="7"/>
      <c r="T96" s="7"/>
      <c r="U96" s="7"/>
      <c r="V96" s="7"/>
      <c r="W96" s="7"/>
      <c r="X96" s="7"/>
      <c r="Y96" s="7"/>
      <c r="Z96" s="7"/>
      <c r="AA96" s="7"/>
      <c r="AB96" s="7"/>
      <c r="AC96" s="7"/>
      <c r="AD96" s="7"/>
      <c r="AE96" s="7"/>
      <c r="AF96" s="7"/>
      <c r="AG96" s="7"/>
      <c r="AH96" s="7"/>
      <c r="AI96" s="7"/>
      <c r="AJ96" s="7"/>
      <c r="AK96" s="7"/>
      <c r="AL96" s="7"/>
      <c r="AM96" s="7"/>
      <c r="AN96" s="7"/>
      <c r="AO96" s="7"/>
    </row>
    <row r="97" spans="1:41" ht="16" x14ac:dyDescent="0.2">
      <c r="A97" s="7"/>
      <c r="B97" s="107" t="s">
        <v>440</v>
      </c>
      <c r="C97" s="110"/>
      <c r="D97" s="110" t="s">
        <v>427</v>
      </c>
      <c r="E97" s="7"/>
      <c r="F97" s="7"/>
      <c r="G97" s="7"/>
      <c r="H97" s="7"/>
      <c r="I97" s="7"/>
      <c r="J97" s="7"/>
      <c r="L97" s="7"/>
      <c r="M97" s="7"/>
      <c r="N97" s="7"/>
      <c r="O97" s="7"/>
      <c r="P97" s="7"/>
      <c r="Q97" s="7"/>
      <c r="R97" s="7"/>
      <c r="S97" s="7"/>
      <c r="T97" s="7"/>
      <c r="U97" s="7"/>
      <c r="V97" s="7"/>
      <c r="W97" s="7"/>
      <c r="X97" s="7"/>
      <c r="Y97" s="7"/>
      <c r="Z97" s="7"/>
      <c r="AA97" s="7"/>
      <c r="AB97" s="7"/>
      <c r="AC97" s="7"/>
      <c r="AD97" s="7"/>
      <c r="AE97" s="7"/>
      <c r="AF97" s="7"/>
      <c r="AG97" s="7"/>
      <c r="AH97" s="7"/>
      <c r="AI97" s="7"/>
      <c r="AJ97" s="7"/>
      <c r="AK97" s="7"/>
      <c r="AL97" s="7"/>
      <c r="AM97" s="7"/>
      <c r="AN97" s="7"/>
      <c r="AO97" s="7"/>
    </row>
    <row r="98" spans="1:41" ht="16" x14ac:dyDescent="0.2">
      <c r="A98" s="7"/>
      <c r="B98" s="107" t="s">
        <v>441</v>
      </c>
      <c r="C98" s="110"/>
      <c r="D98" s="110" t="s">
        <v>427</v>
      </c>
      <c r="E98" s="7"/>
      <c r="F98" s="7"/>
      <c r="G98" s="7"/>
      <c r="H98" s="7"/>
      <c r="I98" s="7"/>
      <c r="J98" s="7"/>
      <c r="L98" s="7"/>
      <c r="M98" s="7"/>
      <c r="N98" s="7"/>
      <c r="O98" s="7"/>
      <c r="P98" s="7"/>
      <c r="Q98" s="7"/>
      <c r="R98" s="7"/>
      <c r="S98" s="7"/>
      <c r="T98" s="7"/>
      <c r="U98" s="7"/>
      <c r="V98" s="7"/>
      <c r="W98" s="7"/>
      <c r="X98" s="7"/>
      <c r="Y98" s="7"/>
      <c r="Z98" s="7"/>
      <c r="AA98" s="7"/>
      <c r="AB98" s="7"/>
      <c r="AC98" s="7"/>
      <c r="AD98" s="7"/>
      <c r="AE98" s="7"/>
      <c r="AF98" s="7"/>
      <c r="AG98" s="7"/>
      <c r="AH98" s="7"/>
      <c r="AI98" s="7"/>
      <c r="AJ98" s="7"/>
      <c r="AK98" s="7"/>
      <c r="AL98" s="7"/>
      <c r="AM98" s="7"/>
      <c r="AN98" s="7"/>
      <c r="AO98" s="7"/>
    </row>
    <row r="99" spans="1:41" ht="16" x14ac:dyDescent="0.2">
      <c r="A99" s="7"/>
      <c r="B99" s="107" t="s">
        <v>442</v>
      </c>
      <c r="C99" s="110"/>
      <c r="D99" s="110" t="s">
        <v>427</v>
      </c>
      <c r="E99" s="7"/>
      <c r="F99" s="7"/>
      <c r="G99" s="7"/>
      <c r="H99" s="7"/>
      <c r="I99" s="7"/>
      <c r="J99" s="7"/>
      <c r="L99" s="7"/>
      <c r="M99" s="7"/>
      <c r="N99" s="7"/>
      <c r="O99" s="7"/>
      <c r="P99" s="7"/>
      <c r="Q99" s="7"/>
      <c r="R99" s="7"/>
      <c r="S99" s="7"/>
      <c r="T99" s="7"/>
      <c r="U99" s="7"/>
      <c r="V99" s="7"/>
      <c r="W99" s="7"/>
      <c r="X99" s="7"/>
      <c r="Y99" s="7"/>
      <c r="Z99" s="7"/>
      <c r="AA99" s="7"/>
      <c r="AB99" s="7"/>
      <c r="AC99" s="7"/>
      <c r="AD99" s="7"/>
      <c r="AE99" s="7"/>
      <c r="AF99" s="7"/>
      <c r="AG99" s="7"/>
      <c r="AH99" s="7"/>
      <c r="AI99" s="7"/>
      <c r="AJ99" s="7"/>
      <c r="AK99" s="7"/>
      <c r="AL99" s="7"/>
      <c r="AM99" s="7"/>
      <c r="AN99" s="7"/>
      <c r="AO99" s="7"/>
    </row>
    <row r="100" spans="1:41" ht="16" x14ac:dyDescent="0.2">
      <c r="A100" s="7"/>
      <c r="B100" s="107" t="s">
        <v>443</v>
      </c>
      <c r="C100" s="110"/>
      <c r="D100" s="110" t="s">
        <v>427</v>
      </c>
      <c r="E100" s="7"/>
      <c r="F100" s="7"/>
      <c r="G100" s="7"/>
      <c r="H100" s="7"/>
      <c r="I100" s="7"/>
      <c r="J100" s="7"/>
      <c r="L100" s="7"/>
      <c r="M100" s="7"/>
      <c r="N100" s="7"/>
      <c r="O100" s="7"/>
      <c r="P100" s="7"/>
      <c r="Q100" s="7"/>
      <c r="R100" s="7"/>
      <c r="S100" s="7"/>
      <c r="T100" s="7"/>
      <c r="U100" s="7"/>
      <c r="V100" s="7"/>
      <c r="W100" s="7"/>
      <c r="X100" s="7"/>
      <c r="Y100" s="7"/>
      <c r="Z100" s="7"/>
      <c r="AA100" s="7"/>
      <c r="AB100" s="7"/>
      <c r="AC100" s="7"/>
      <c r="AD100" s="7"/>
      <c r="AE100" s="7"/>
      <c r="AF100" s="7"/>
      <c r="AG100" s="7"/>
      <c r="AH100" s="7"/>
      <c r="AI100" s="7"/>
      <c r="AJ100" s="7"/>
      <c r="AK100" s="7"/>
      <c r="AL100" s="7"/>
      <c r="AM100" s="7"/>
      <c r="AN100" s="7"/>
      <c r="AO100" s="7"/>
    </row>
    <row r="101" spans="1:41" ht="16" x14ac:dyDescent="0.2">
      <c r="A101" s="7"/>
      <c r="B101" s="107" t="s">
        <v>444</v>
      </c>
      <c r="C101" s="110"/>
      <c r="D101" s="110" t="s">
        <v>427</v>
      </c>
      <c r="E101" s="7"/>
      <c r="F101" s="7"/>
      <c r="G101" s="7"/>
      <c r="H101" s="7"/>
      <c r="I101" s="7"/>
      <c r="J101" s="7"/>
      <c r="L101" s="7"/>
      <c r="M101" s="7"/>
      <c r="N101" s="7"/>
      <c r="O101" s="7"/>
      <c r="P101" s="7"/>
      <c r="Q101" s="7"/>
      <c r="R101" s="7"/>
      <c r="S101" s="7"/>
      <c r="T101" s="7"/>
      <c r="U101" s="7"/>
      <c r="V101" s="7"/>
      <c r="W101" s="7"/>
      <c r="X101" s="7"/>
      <c r="Y101" s="7"/>
      <c r="Z101" s="7"/>
      <c r="AA101" s="7"/>
      <c r="AB101" s="7"/>
      <c r="AC101" s="7"/>
      <c r="AD101" s="7"/>
      <c r="AE101" s="7"/>
      <c r="AF101" s="7"/>
      <c r="AG101" s="7"/>
      <c r="AH101" s="7"/>
      <c r="AI101" s="7"/>
      <c r="AJ101" s="7"/>
      <c r="AK101" s="7"/>
      <c r="AL101" s="7"/>
      <c r="AM101" s="7"/>
      <c r="AN101" s="7"/>
      <c r="AO101" s="7"/>
    </row>
    <row r="102" spans="1:41" ht="16" x14ac:dyDescent="0.2">
      <c r="A102" s="7"/>
      <c r="B102" s="107" t="s">
        <v>445</v>
      </c>
      <c r="C102" s="110"/>
      <c r="D102" s="110" t="s">
        <v>427</v>
      </c>
      <c r="E102" s="7"/>
      <c r="F102" s="7"/>
      <c r="G102" s="7"/>
      <c r="H102" s="7"/>
      <c r="I102" s="7"/>
      <c r="J102" s="7"/>
      <c r="L102" s="7"/>
      <c r="M102" s="7"/>
      <c r="N102" s="7"/>
      <c r="O102" s="7"/>
      <c r="P102" s="7"/>
      <c r="Q102" s="7"/>
      <c r="R102" s="7"/>
      <c r="S102" s="7"/>
      <c r="T102" s="7"/>
      <c r="U102" s="7"/>
      <c r="V102" s="7"/>
      <c r="W102" s="7"/>
      <c r="X102" s="7"/>
      <c r="Y102" s="7"/>
      <c r="Z102" s="7"/>
      <c r="AA102" s="7"/>
      <c r="AB102" s="7"/>
      <c r="AC102" s="7"/>
      <c r="AD102" s="7"/>
      <c r="AE102" s="7"/>
      <c r="AF102" s="7"/>
      <c r="AG102" s="7"/>
      <c r="AH102" s="7"/>
      <c r="AI102" s="7"/>
      <c r="AJ102" s="7"/>
      <c r="AK102" s="7"/>
      <c r="AL102" s="7"/>
      <c r="AM102" s="7"/>
      <c r="AN102" s="7"/>
      <c r="AO102" s="7"/>
    </row>
    <row r="103" spans="1:41" ht="16" x14ac:dyDescent="0.2">
      <c r="A103" s="7"/>
      <c r="B103" s="108" t="s">
        <v>446</v>
      </c>
      <c r="C103" s="108"/>
      <c r="D103" s="108"/>
      <c r="E103" s="7"/>
      <c r="F103" s="7"/>
      <c r="G103" s="7"/>
      <c r="H103" s="7"/>
      <c r="I103" s="7"/>
      <c r="J103" s="7"/>
      <c r="L103" s="7"/>
      <c r="M103" s="7"/>
      <c r="N103" s="7"/>
      <c r="O103" s="7"/>
      <c r="P103" s="7"/>
      <c r="Q103" s="7"/>
      <c r="R103" s="7"/>
      <c r="S103" s="7"/>
      <c r="T103" s="7"/>
      <c r="U103" s="7"/>
      <c r="V103" s="7"/>
      <c r="W103" s="7"/>
      <c r="X103" s="7"/>
      <c r="Y103" s="7"/>
      <c r="Z103" s="7"/>
      <c r="AA103" s="7"/>
      <c r="AB103" s="7"/>
      <c r="AC103" s="7"/>
      <c r="AD103" s="7"/>
      <c r="AE103" s="7"/>
      <c r="AF103" s="7"/>
      <c r="AG103" s="7"/>
      <c r="AH103" s="7"/>
      <c r="AI103" s="7"/>
      <c r="AJ103" s="7"/>
      <c r="AK103" s="7"/>
      <c r="AL103" s="7"/>
      <c r="AM103" s="7"/>
      <c r="AN103" s="7"/>
      <c r="AO103" s="7"/>
    </row>
    <row r="104" spans="1:41" ht="16" x14ac:dyDescent="0.2">
      <c r="A104" s="7"/>
      <c r="B104" s="107" t="s">
        <v>447</v>
      </c>
      <c r="C104" s="110"/>
      <c r="D104" s="110" t="s">
        <v>427</v>
      </c>
      <c r="E104" s="7"/>
      <c r="F104" s="7"/>
      <c r="G104" s="7"/>
      <c r="H104" s="7"/>
      <c r="I104" s="7"/>
      <c r="J104" s="7"/>
      <c r="L104" s="7"/>
      <c r="M104" s="7"/>
      <c r="N104" s="7"/>
      <c r="O104" s="7"/>
      <c r="P104" s="7"/>
      <c r="Q104" s="7"/>
      <c r="R104" s="7"/>
      <c r="S104" s="7"/>
      <c r="T104" s="7"/>
      <c r="U104" s="7"/>
      <c r="V104" s="7"/>
      <c r="W104" s="7"/>
      <c r="X104" s="7"/>
      <c r="Y104" s="7"/>
      <c r="Z104" s="7"/>
      <c r="AA104" s="7"/>
      <c r="AB104" s="7"/>
      <c r="AC104" s="7"/>
      <c r="AD104" s="7"/>
      <c r="AE104" s="7"/>
      <c r="AF104" s="7"/>
      <c r="AG104" s="7"/>
      <c r="AH104" s="7"/>
      <c r="AI104" s="7"/>
      <c r="AJ104" s="7"/>
      <c r="AK104" s="7"/>
      <c r="AL104" s="7"/>
      <c r="AM104" s="7"/>
      <c r="AN104" s="7"/>
      <c r="AO104" s="7"/>
    </row>
    <row r="105" spans="1:41" ht="16" x14ac:dyDescent="0.2">
      <c r="A105" s="7"/>
      <c r="B105" s="107" t="s">
        <v>448</v>
      </c>
      <c r="C105" s="110"/>
      <c r="D105" s="110" t="s">
        <v>427</v>
      </c>
      <c r="E105" s="7"/>
      <c r="F105" s="7"/>
      <c r="G105" s="7"/>
      <c r="H105" s="7"/>
      <c r="I105" s="7"/>
      <c r="J105" s="7"/>
      <c r="L105" s="7"/>
      <c r="M105" s="7"/>
      <c r="N105" s="7"/>
      <c r="O105" s="7"/>
      <c r="P105" s="7"/>
      <c r="Q105" s="7"/>
      <c r="R105" s="7"/>
      <c r="S105" s="7"/>
      <c r="T105" s="7"/>
      <c r="U105" s="7"/>
      <c r="V105" s="7"/>
      <c r="W105" s="7"/>
      <c r="X105" s="7"/>
      <c r="Y105" s="7"/>
      <c r="Z105" s="7"/>
      <c r="AA105" s="7"/>
      <c r="AB105" s="7"/>
      <c r="AC105" s="7"/>
      <c r="AD105" s="7"/>
      <c r="AE105" s="7"/>
      <c r="AF105" s="7"/>
      <c r="AG105" s="7"/>
      <c r="AH105" s="7"/>
      <c r="AI105" s="7"/>
      <c r="AJ105" s="7"/>
      <c r="AK105" s="7"/>
      <c r="AL105" s="7"/>
      <c r="AM105" s="7"/>
      <c r="AN105" s="7"/>
      <c r="AO105" s="7"/>
    </row>
    <row r="106" spans="1:41" ht="16" x14ac:dyDescent="0.2">
      <c r="A106" s="7"/>
      <c r="B106" s="107" t="s">
        <v>449</v>
      </c>
      <c r="C106" s="110" t="s">
        <v>427</v>
      </c>
      <c r="D106" s="110" t="s">
        <v>427</v>
      </c>
      <c r="E106" s="7"/>
      <c r="F106" s="7"/>
      <c r="G106" s="7"/>
      <c r="H106" s="7"/>
      <c r="I106" s="7"/>
      <c r="J106" s="7"/>
      <c r="L106" s="7"/>
      <c r="M106" s="7"/>
      <c r="N106" s="7"/>
      <c r="O106" s="7"/>
      <c r="P106" s="7"/>
      <c r="Q106" s="7"/>
      <c r="R106" s="7"/>
      <c r="S106" s="7"/>
      <c r="T106" s="7"/>
      <c r="U106" s="7"/>
      <c r="V106" s="7"/>
      <c r="W106" s="7"/>
      <c r="X106" s="7"/>
      <c r="Y106" s="7"/>
      <c r="Z106" s="7"/>
      <c r="AA106" s="7"/>
      <c r="AB106" s="7"/>
      <c r="AC106" s="7"/>
      <c r="AD106" s="7"/>
      <c r="AE106" s="7"/>
      <c r="AF106" s="7"/>
      <c r="AG106" s="7"/>
      <c r="AH106" s="7"/>
      <c r="AI106" s="7"/>
      <c r="AJ106" s="7"/>
      <c r="AK106" s="7"/>
      <c r="AL106" s="7"/>
      <c r="AM106" s="7"/>
      <c r="AN106" s="7"/>
      <c r="AO106" s="7"/>
    </row>
    <row r="107" spans="1:41" ht="16" x14ac:dyDescent="0.2">
      <c r="A107" s="7"/>
      <c r="B107" s="107" t="s">
        <v>450</v>
      </c>
      <c r="C107" s="110" t="s">
        <v>427</v>
      </c>
      <c r="D107" s="110" t="s">
        <v>427</v>
      </c>
      <c r="E107" s="7"/>
      <c r="F107" s="7"/>
      <c r="G107" s="7"/>
      <c r="H107" s="7"/>
      <c r="I107" s="7"/>
      <c r="J107" s="7"/>
      <c r="L107" s="7"/>
      <c r="M107" s="7"/>
      <c r="N107" s="7"/>
      <c r="O107" s="7"/>
      <c r="P107" s="7"/>
      <c r="Q107" s="7"/>
      <c r="R107" s="7"/>
      <c r="S107" s="7"/>
      <c r="T107" s="7"/>
      <c r="U107" s="7"/>
      <c r="V107" s="7"/>
      <c r="W107" s="7"/>
      <c r="X107" s="7"/>
      <c r="Y107" s="7"/>
      <c r="Z107" s="7"/>
      <c r="AA107" s="7"/>
      <c r="AB107" s="7"/>
      <c r="AC107" s="7"/>
      <c r="AD107" s="7"/>
      <c r="AE107" s="7"/>
      <c r="AF107" s="7"/>
      <c r="AG107" s="7"/>
      <c r="AH107" s="7"/>
      <c r="AI107" s="7"/>
      <c r="AJ107" s="7"/>
      <c r="AK107" s="7"/>
      <c r="AL107" s="7"/>
      <c r="AM107" s="7"/>
      <c r="AN107" s="7"/>
      <c r="AO107" s="7"/>
    </row>
    <row r="108" spans="1:41" ht="16" x14ac:dyDescent="0.2">
      <c r="A108" s="7"/>
      <c r="B108" s="107" t="s">
        <v>451</v>
      </c>
      <c r="C108" s="110"/>
      <c r="D108" s="110" t="s">
        <v>427</v>
      </c>
      <c r="E108" s="7"/>
      <c r="F108" s="7"/>
      <c r="G108" s="7"/>
      <c r="H108" s="7"/>
      <c r="I108" s="7"/>
      <c r="J108" s="7"/>
      <c r="L108" s="7"/>
      <c r="M108" s="7"/>
      <c r="N108" s="7"/>
      <c r="O108" s="7"/>
      <c r="P108" s="7"/>
      <c r="Q108" s="7"/>
      <c r="R108" s="7"/>
      <c r="S108" s="7"/>
      <c r="T108" s="7"/>
      <c r="U108" s="7"/>
      <c r="V108" s="7"/>
      <c r="W108" s="7"/>
      <c r="X108" s="7"/>
      <c r="Y108" s="7"/>
      <c r="Z108" s="7"/>
      <c r="AA108" s="7"/>
      <c r="AB108" s="7"/>
      <c r="AC108" s="7"/>
      <c r="AD108" s="7"/>
      <c r="AE108" s="7"/>
      <c r="AF108" s="7"/>
      <c r="AG108" s="7"/>
      <c r="AH108" s="7"/>
      <c r="AI108" s="7"/>
      <c r="AJ108" s="7"/>
      <c r="AK108" s="7"/>
      <c r="AL108" s="7"/>
      <c r="AM108" s="7"/>
      <c r="AN108" s="7"/>
      <c r="AO108" s="7"/>
    </row>
    <row r="109" spans="1:41" ht="16" x14ac:dyDescent="0.2">
      <c r="A109" s="7"/>
      <c r="B109" s="107" t="s">
        <v>452</v>
      </c>
      <c r="C109" s="110"/>
      <c r="D109" s="110" t="s">
        <v>427</v>
      </c>
      <c r="E109" s="7"/>
      <c r="F109" s="7"/>
      <c r="G109" s="7"/>
      <c r="H109" s="7"/>
      <c r="I109" s="7"/>
      <c r="J109" s="7"/>
      <c r="L109" s="7"/>
      <c r="M109" s="7"/>
      <c r="N109" s="7"/>
      <c r="O109" s="7"/>
      <c r="P109" s="7"/>
      <c r="Q109" s="7"/>
      <c r="R109" s="7"/>
      <c r="S109" s="7"/>
      <c r="T109" s="7"/>
      <c r="U109" s="7"/>
      <c r="V109" s="7"/>
      <c r="W109" s="7"/>
      <c r="X109" s="7"/>
      <c r="Y109" s="7"/>
      <c r="Z109" s="7"/>
      <c r="AA109" s="7"/>
      <c r="AB109" s="7"/>
      <c r="AC109" s="7"/>
      <c r="AD109" s="7"/>
      <c r="AE109" s="7"/>
      <c r="AF109" s="7"/>
      <c r="AG109" s="7"/>
      <c r="AH109" s="7"/>
      <c r="AI109" s="7"/>
      <c r="AJ109" s="7"/>
      <c r="AK109" s="7"/>
      <c r="AL109" s="7"/>
      <c r="AM109" s="7"/>
      <c r="AN109" s="7"/>
      <c r="AO109" s="7"/>
    </row>
    <row r="110" spans="1:41" ht="16" x14ac:dyDescent="0.2">
      <c r="A110" s="7"/>
      <c r="B110" s="108" t="s">
        <v>453</v>
      </c>
      <c r="C110" s="108"/>
      <c r="D110" s="108"/>
      <c r="E110" s="7"/>
      <c r="F110" s="7"/>
      <c r="G110" s="7"/>
      <c r="H110" s="7"/>
      <c r="I110" s="7"/>
      <c r="J110" s="7"/>
      <c r="L110" s="7"/>
      <c r="M110" s="7"/>
      <c r="N110" s="7"/>
      <c r="O110" s="7"/>
      <c r="P110" s="7"/>
      <c r="Q110" s="7"/>
      <c r="R110" s="7"/>
      <c r="S110" s="7"/>
      <c r="T110" s="7"/>
      <c r="U110" s="7"/>
      <c r="V110" s="7"/>
      <c r="W110" s="7"/>
      <c r="X110" s="7"/>
      <c r="Y110" s="7"/>
      <c r="Z110" s="7"/>
      <c r="AA110" s="7"/>
      <c r="AB110" s="7"/>
      <c r="AC110" s="7"/>
      <c r="AD110" s="7"/>
      <c r="AE110" s="7"/>
      <c r="AF110" s="7"/>
      <c r="AG110" s="7"/>
      <c r="AH110" s="7"/>
      <c r="AI110" s="7"/>
      <c r="AJ110" s="7"/>
      <c r="AK110" s="7"/>
      <c r="AL110" s="7"/>
      <c r="AM110" s="7"/>
      <c r="AN110" s="7"/>
      <c r="AO110" s="7"/>
    </row>
    <row r="111" spans="1:41" ht="16" x14ac:dyDescent="0.2">
      <c r="A111" s="7"/>
      <c r="B111" s="107" t="s">
        <v>454</v>
      </c>
      <c r="C111" s="110" t="s">
        <v>427</v>
      </c>
      <c r="D111" s="110" t="s">
        <v>427</v>
      </c>
      <c r="E111" s="7"/>
      <c r="F111" s="7"/>
      <c r="G111" s="7"/>
      <c r="H111" s="7"/>
      <c r="I111" s="7"/>
      <c r="J111" s="7"/>
      <c r="L111" s="7"/>
      <c r="M111" s="7"/>
      <c r="N111" s="7"/>
      <c r="O111" s="7"/>
      <c r="P111" s="7"/>
      <c r="Q111" s="7"/>
      <c r="R111" s="7"/>
      <c r="S111" s="7"/>
      <c r="T111" s="7"/>
      <c r="U111" s="7"/>
      <c r="V111" s="7"/>
      <c r="W111" s="7"/>
      <c r="X111" s="7"/>
      <c r="Y111" s="7"/>
      <c r="Z111" s="7"/>
      <c r="AA111" s="7"/>
      <c r="AB111" s="7"/>
      <c r="AC111" s="7"/>
      <c r="AD111" s="7"/>
      <c r="AE111" s="7"/>
      <c r="AF111" s="7"/>
      <c r="AG111" s="7"/>
      <c r="AH111" s="7"/>
      <c r="AI111" s="7"/>
      <c r="AJ111" s="7"/>
      <c r="AK111" s="7"/>
      <c r="AL111" s="7"/>
      <c r="AM111" s="7"/>
      <c r="AN111" s="7"/>
      <c r="AO111" s="7"/>
    </row>
    <row r="112" spans="1:41" ht="16" x14ac:dyDescent="0.2">
      <c r="A112" s="7"/>
      <c r="B112" s="107" t="s">
        <v>455</v>
      </c>
      <c r="C112" s="110" t="s">
        <v>427</v>
      </c>
      <c r="D112" s="110" t="s">
        <v>427</v>
      </c>
      <c r="E112" s="7"/>
      <c r="F112" s="7"/>
      <c r="G112" s="7"/>
      <c r="H112" s="7"/>
      <c r="I112" s="7"/>
      <c r="J112" s="7"/>
      <c r="L112" s="7"/>
      <c r="M112" s="7"/>
      <c r="N112" s="7"/>
      <c r="O112" s="7"/>
      <c r="P112" s="7"/>
      <c r="Q112" s="7"/>
      <c r="R112" s="7"/>
      <c r="S112" s="7"/>
      <c r="T112" s="7"/>
      <c r="U112" s="7"/>
      <c r="V112" s="7"/>
      <c r="W112" s="7"/>
      <c r="X112" s="7"/>
      <c r="Y112" s="7"/>
      <c r="Z112" s="7"/>
      <c r="AA112" s="7"/>
      <c r="AB112" s="7"/>
      <c r="AC112" s="7"/>
      <c r="AD112" s="7"/>
      <c r="AE112" s="7"/>
      <c r="AF112" s="7"/>
      <c r="AG112" s="7"/>
      <c r="AH112" s="7"/>
      <c r="AI112" s="7"/>
      <c r="AJ112" s="7"/>
      <c r="AK112" s="7"/>
      <c r="AL112" s="7"/>
      <c r="AM112" s="7"/>
      <c r="AN112" s="7"/>
      <c r="AO112" s="7"/>
    </row>
    <row r="113" spans="1:41" ht="16" x14ac:dyDescent="0.2">
      <c r="A113" s="7"/>
      <c r="B113" s="107" t="s">
        <v>456</v>
      </c>
      <c r="C113" s="110" t="s">
        <v>427</v>
      </c>
      <c r="D113" s="110" t="s">
        <v>427</v>
      </c>
      <c r="E113" s="7"/>
      <c r="F113" s="7"/>
      <c r="G113" s="7"/>
      <c r="H113" s="7"/>
      <c r="I113" s="7"/>
      <c r="J113" s="7"/>
      <c r="L113" s="7"/>
      <c r="M113" s="7"/>
      <c r="N113" s="7"/>
      <c r="O113" s="7"/>
      <c r="P113" s="7"/>
      <c r="Q113" s="7"/>
      <c r="R113" s="7"/>
      <c r="S113" s="7"/>
      <c r="T113" s="7"/>
      <c r="U113" s="7"/>
      <c r="V113" s="7"/>
      <c r="W113" s="7"/>
      <c r="X113" s="7"/>
      <c r="Y113" s="7"/>
      <c r="Z113" s="7"/>
      <c r="AA113" s="7"/>
      <c r="AB113" s="7"/>
      <c r="AC113" s="7"/>
      <c r="AD113" s="7"/>
      <c r="AE113" s="7"/>
      <c r="AF113" s="7"/>
      <c r="AG113" s="7"/>
      <c r="AH113" s="7"/>
      <c r="AI113" s="7"/>
      <c r="AJ113" s="7"/>
      <c r="AK113" s="7"/>
      <c r="AL113" s="7"/>
      <c r="AM113" s="7"/>
      <c r="AN113" s="7"/>
      <c r="AO113" s="7"/>
    </row>
    <row r="114" spans="1:41" ht="16" x14ac:dyDescent="0.2">
      <c r="A114" s="7"/>
      <c r="B114" s="107" t="s">
        <v>457</v>
      </c>
      <c r="C114" s="110"/>
      <c r="D114" s="110" t="s">
        <v>427</v>
      </c>
      <c r="E114" s="7"/>
      <c r="F114" s="7"/>
      <c r="G114" s="7"/>
      <c r="H114" s="7"/>
      <c r="I114" s="7"/>
      <c r="J114" s="7"/>
      <c r="L114" s="7"/>
      <c r="M114" s="7"/>
      <c r="N114" s="7"/>
      <c r="O114" s="7"/>
      <c r="P114" s="7"/>
      <c r="Q114" s="7"/>
      <c r="R114" s="7"/>
      <c r="S114" s="7"/>
      <c r="T114" s="7"/>
      <c r="U114" s="7"/>
      <c r="V114" s="7"/>
      <c r="W114" s="7"/>
      <c r="X114" s="7"/>
      <c r="Y114" s="7"/>
      <c r="Z114" s="7"/>
      <c r="AA114" s="7"/>
      <c r="AB114" s="7"/>
      <c r="AC114" s="7"/>
      <c r="AD114" s="7"/>
      <c r="AE114" s="7"/>
      <c r="AF114" s="7"/>
      <c r="AG114" s="7"/>
      <c r="AH114" s="7"/>
      <c r="AI114" s="7"/>
      <c r="AJ114" s="7"/>
      <c r="AK114" s="7"/>
      <c r="AL114" s="7"/>
      <c r="AM114" s="7"/>
      <c r="AN114" s="7"/>
      <c r="AO114" s="7"/>
    </row>
    <row r="115" spans="1:41" ht="16" x14ac:dyDescent="0.2">
      <c r="A115" s="7"/>
      <c r="B115" s="107" t="s">
        <v>458</v>
      </c>
      <c r="C115" s="110"/>
      <c r="D115" s="110" t="s">
        <v>427</v>
      </c>
      <c r="E115" s="7"/>
      <c r="F115" s="7"/>
      <c r="G115" s="7"/>
      <c r="H115" s="7"/>
      <c r="I115" s="7"/>
      <c r="J115" s="7"/>
      <c r="L115" s="7"/>
      <c r="M115" s="7"/>
      <c r="N115" s="7"/>
      <c r="O115" s="7"/>
      <c r="P115" s="7"/>
      <c r="Q115" s="7"/>
      <c r="R115" s="7"/>
      <c r="S115" s="7"/>
      <c r="T115" s="7"/>
      <c r="U115" s="7"/>
      <c r="V115" s="7"/>
      <c r="W115" s="7"/>
      <c r="X115" s="7"/>
      <c r="Y115" s="7"/>
      <c r="Z115" s="7"/>
      <c r="AA115" s="7"/>
      <c r="AB115" s="7"/>
      <c r="AC115" s="7"/>
      <c r="AD115" s="7"/>
      <c r="AE115" s="7"/>
      <c r="AF115" s="7"/>
      <c r="AG115" s="7"/>
      <c r="AH115" s="7"/>
      <c r="AI115" s="7"/>
      <c r="AJ115" s="7"/>
      <c r="AK115" s="7"/>
      <c r="AL115" s="7"/>
      <c r="AM115" s="7"/>
      <c r="AN115" s="7"/>
      <c r="AO115" s="7"/>
    </row>
    <row r="116" spans="1:41" ht="16" x14ac:dyDescent="0.2">
      <c r="A116" s="7"/>
      <c r="B116" s="108" t="s">
        <v>459</v>
      </c>
      <c r="C116" s="108"/>
      <c r="D116" s="108"/>
      <c r="E116" s="7"/>
      <c r="F116" s="7"/>
      <c r="G116" s="7"/>
      <c r="H116" s="7"/>
      <c r="I116" s="7"/>
      <c r="J116" s="7"/>
      <c r="L116" s="7"/>
      <c r="M116" s="7"/>
      <c r="N116" s="7"/>
      <c r="O116" s="7"/>
      <c r="P116" s="7"/>
      <c r="Q116" s="7"/>
      <c r="R116" s="7"/>
      <c r="S116" s="7"/>
      <c r="T116" s="7"/>
      <c r="U116" s="7"/>
      <c r="V116" s="7"/>
      <c r="W116" s="7"/>
      <c r="X116" s="7"/>
      <c r="Y116" s="7"/>
      <c r="Z116" s="7"/>
      <c r="AA116" s="7"/>
      <c r="AB116" s="7"/>
      <c r="AC116" s="7"/>
      <c r="AD116" s="7"/>
      <c r="AE116" s="7"/>
      <c r="AF116" s="7"/>
      <c r="AG116" s="7"/>
      <c r="AH116" s="7"/>
      <c r="AI116" s="7"/>
      <c r="AJ116" s="7"/>
      <c r="AK116" s="7"/>
      <c r="AL116" s="7"/>
      <c r="AM116" s="7"/>
      <c r="AN116" s="7"/>
      <c r="AO116" s="7"/>
    </row>
    <row r="117" spans="1:41" ht="16" x14ac:dyDescent="0.2">
      <c r="A117" s="7"/>
      <c r="B117" s="107" t="s">
        <v>460</v>
      </c>
      <c r="C117" s="110"/>
      <c r="D117" s="110" t="s">
        <v>427</v>
      </c>
      <c r="E117" s="7"/>
      <c r="F117" s="7"/>
      <c r="G117" s="7"/>
      <c r="H117" s="7"/>
      <c r="I117" s="7"/>
      <c r="J117" s="7"/>
      <c r="L117" s="7"/>
      <c r="M117" s="7"/>
      <c r="N117" s="7"/>
      <c r="O117" s="7"/>
      <c r="P117" s="7"/>
      <c r="Q117" s="7"/>
      <c r="R117" s="7"/>
      <c r="S117" s="7"/>
      <c r="T117" s="7"/>
      <c r="U117" s="7"/>
      <c r="V117" s="7"/>
      <c r="W117" s="7"/>
      <c r="X117" s="7"/>
      <c r="Y117" s="7"/>
      <c r="Z117" s="7"/>
      <c r="AA117" s="7"/>
      <c r="AB117" s="7"/>
      <c r="AC117" s="7"/>
      <c r="AD117" s="7"/>
      <c r="AE117" s="7"/>
      <c r="AF117" s="7"/>
      <c r="AG117" s="7"/>
      <c r="AH117" s="7"/>
      <c r="AI117" s="7"/>
      <c r="AJ117" s="7"/>
      <c r="AK117" s="7"/>
      <c r="AL117" s="7"/>
      <c r="AM117" s="7"/>
      <c r="AN117" s="7"/>
      <c r="AO117" s="7"/>
    </row>
    <row r="118" spans="1:41" ht="16" x14ac:dyDescent="0.2">
      <c r="A118" s="7"/>
      <c r="B118" s="107" t="s">
        <v>461</v>
      </c>
      <c r="C118" s="110"/>
      <c r="D118" s="110" t="s">
        <v>427</v>
      </c>
      <c r="E118" s="7"/>
      <c r="F118" s="7"/>
      <c r="G118" s="7"/>
      <c r="H118" s="7"/>
      <c r="I118" s="7"/>
      <c r="J118" s="7"/>
      <c r="L118" s="7"/>
      <c r="M118" s="7"/>
      <c r="N118" s="7"/>
      <c r="O118" s="7"/>
      <c r="P118" s="7"/>
      <c r="Q118" s="7"/>
      <c r="R118" s="7"/>
      <c r="S118" s="7"/>
      <c r="T118" s="7"/>
      <c r="U118" s="7"/>
      <c r="V118" s="7"/>
      <c r="W118" s="7"/>
      <c r="X118" s="7"/>
      <c r="Y118" s="7"/>
      <c r="Z118" s="7"/>
      <c r="AA118" s="7"/>
      <c r="AB118" s="7"/>
      <c r="AC118" s="7"/>
      <c r="AD118" s="7"/>
      <c r="AE118" s="7"/>
      <c r="AF118" s="7"/>
      <c r="AG118" s="7"/>
      <c r="AH118" s="7"/>
      <c r="AI118" s="7"/>
      <c r="AJ118" s="7"/>
      <c r="AK118" s="7"/>
      <c r="AL118" s="7"/>
      <c r="AM118" s="7"/>
      <c r="AN118" s="7"/>
      <c r="AO118" s="7"/>
    </row>
    <row r="119" spans="1:41" ht="16" x14ac:dyDescent="0.2">
      <c r="A119" s="7"/>
      <c r="B119" s="107" t="s">
        <v>462</v>
      </c>
      <c r="C119" s="110"/>
      <c r="D119" s="110" t="s">
        <v>427</v>
      </c>
      <c r="E119" s="7"/>
      <c r="F119" s="7"/>
      <c r="G119" s="7"/>
      <c r="H119" s="7"/>
      <c r="I119" s="7"/>
      <c r="J119" s="7"/>
      <c r="L119" s="7"/>
      <c r="M119" s="7"/>
      <c r="N119" s="7"/>
      <c r="O119" s="7"/>
      <c r="P119" s="7"/>
      <c r="Q119" s="7"/>
      <c r="R119" s="7"/>
      <c r="S119" s="7"/>
      <c r="T119" s="7"/>
      <c r="U119" s="7"/>
      <c r="V119" s="7"/>
      <c r="W119" s="7"/>
      <c r="X119" s="7"/>
      <c r="Y119" s="7"/>
      <c r="Z119" s="7"/>
      <c r="AA119" s="7"/>
      <c r="AB119" s="7"/>
      <c r="AC119" s="7"/>
      <c r="AD119" s="7"/>
      <c r="AE119" s="7"/>
      <c r="AF119" s="7"/>
      <c r="AG119" s="7"/>
      <c r="AH119" s="7"/>
      <c r="AI119" s="7"/>
      <c r="AJ119" s="7"/>
      <c r="AK119" s="7"/>
      <c r="AL119" s="7"/>
      <c r="AM119" s="7"/>
      <c r="AN119" s="7"/>
      <c r="AO119" s="7"/>
    </row>
    <row r="120" spans="1:41" ht="16" x14ac:dyDescent="0.2">
      <c r="A120" s="7"/>
      <c r="B120" s="107" t="s">
        <v>463</v>
      </c>
      <c r="C120" s="110"/>
      <c r="D120" s="110" t="s">
        <v>427</v>
      </c>
      <c r="E120" s="7"/>
      <c r="F120" s="7"/>
      <c r="G120" s="7"/>
      <c r="H120" s="7"/>
      <c r="I120" s="7"/>
      <c r="J120" s="7"/>
      <c r="L120" s="7"/>
      <c r="M120" s="7"/>
      <c r="N120" s="7"/>
      <c r="O120" s="7"/>
      <c r="P120" s="7"/>
      <c r="Q120" s="7"/>
      <c r="R120" s="7"/>
      <c r="S120" s="7"/>
      <c r="T120" s="7"/>
      <c r="U120" s="7"/>
      <c r="V120" s="7"/>
      <c r="W120" s="7"/>
      <c r="X120" s="7"/>
      <c r="Y120" s="7"/>
      <c r="Z120" s="7"/>
      <c r="AA120" s="7"/>
      <c r="AB120" s="7"/>
      <c r="AC120" s="7"/>
      <c r="AD120" s="7"/>
      <c r="AE120" s="7"/>
      <c r="AF120" s="7"/>
      <c r="AG120" s="7"/>
      <c r="AH120" s="7"/>
      <c r="AI120" s="7"/>
      <c r="AJ120" s="7"/>
      <c r="AK120" s="7"/>
      <c r="AL120" s="7"/>
      <c r="AM120" s="7"/>
      <c r="AN120" s="7"/>
      <c r="AO120" s="7"/>
    </row>
    <row r="121" spans="1:41" ht="16" x14ac:dyDescent="0.2">
      <c r="A121" s="7"/>
      <c r="B121" s="108" t="s">
        <v>464</v>
      </c>
      <c r="C121" s="108"/>
      <c r="D121" s="108"/>
      <c r="E121" s="7"/>
      <c r="F121" s="7"/>
      <c r="G121" s="7"/>
      <c r="H121" s="7"/>
      <c r="I121" s="7"/>
      <c r="J121" s="7"/>
      <c r="L121" s="7"/>
      <c r="M121" s="7"/>
      <c r="N121" s="7"/>
      <c r="O121" s="7"/>
      <c r="P121" s="7"/>
      <c r="Q121" s="7"/>
      <c r="R121" s="7"/>
      <c r="S121" s="7"/>
      <c r="T121" s="7"/>
      <c r="U121" s="7"/>
      <c r="V121" s="7"/>
      <c r="W121" s="7"/>
      <c r="X121" s="7"/>
      <c r="Y121" s="7"/>
      <c r="Z121" s="7"/>
      <c r="AA121" s="7"/>
      <c r="AB121" s="7"/>
      <c r="AC121" s="7"/>
      <c r="AD121" s="7"/>
      <c r="AE121" s="7"/>
      <c r="AF121" s="7"/>
      <c r="AG121" s="7"/>
      <c r="AH121" s="7"/>
      <c r="AI121" s="7"/>
      <c r="AJ121" s="7"/>
      <c r="AK121" s="7"/>
      <c r="AL121" s="7"/>
      <c r="AM121" s="7"/>
      <c r="AN121" s="7"/>
      <c r="AO121" s="7"/>
    </row>
    <row r="122" spans="1:41" ht="16" x14ac:dyDescent="0.2">
      <c r="A122" s="7"/>
      <c r="B122" s="107" t="s">
        <v>461</v>
      </c>
      <c r="C122" s="110"/>
      <c r="D122" s="110" t="s">
        <v>427</v>
      </c>
      <c r="E122" s="7"/>
      <c r="F122" s="7"/>
      <c r="G122" s="7"/>
      <c r="H122" s="7"/>
      <c r="I122" s="7"/>
      <c r="J122" s="7"/>
      <c r="L122" s="7"/>
      <c r="M122" s="7"/>
      <c r="N122" s="7"/>
      <c r="O122" s="7"/>
      <c r="P122" s="7"/>
      <c r="Q122" s="7"/>
      <c r="R122" s="7"/>
      <c r="S122" s="7"/>
      <c r="T122" s="7"/>
      <c r="U122" s="7"/>
      <c r="V122" s="7"/>
      <c r="W122" s="7"/>
      <c r="X122" s="7"/>
      <c r="Y122" s="7"/>
      <c r="Z122" s="7"/>
      <c r="AA122" s="7"/>
      <c r="AB122" s="7"/>
      <c r="AC122" s="7"/>
      <c r="AD122" s="7"/>
      <c r="AE122" s="7"/>
      <c r="AF122" s="7"/>
      <c r="AG122" s="7"/>
      <c r="AH122" s="7"/>
      <c r="AI122" s="7"/>
      <c r="AJ122" s="7"/>
      <c r="AK122" s="7"/>
      <c r="AL122" s="7"/>
      <c r="AM122" s="7"/>
      <c r="AN122" s="7"/>
      <c r="AO122" s="7"/>
    </row>
    <row r="123" spans="1:41" s="7" customFormat="1" ht="16" x14ac:dyDescent="0.2">
      <c r="B123" s="107" t="s">
        <v>465</v>
      </c>
      <c r="C123" s="110" t="s">
        <v>427</v>
      </c>
      <c r="D123" s="110" t="s">
        <v>427</v>
      </c>
    </row>
    <row r="124" spans="1:41" s="7" customFormat="1" ht="16" x14ac:dyDescent="0.2">
      <c r="B124" s="107" t="s">
        <v>466</v>
      </c>
      <c r="C124" s="110"/>
      <c r="D124" s="110" t="s">
        <v>427</v>
      </c>
    </row>
    <row r="125" spans="1:41" ht="16" x14ac:dyDescent="0.2">
      <c r="A125" s="7"/>
      <c r="B125" s="107" t="s">
        <v>467</v>
      </c>
      <c r="C125" s="110"/>
      <c r="D125" s="110" t="s">
        <v>427</v>
      </c>
      <c r="E125" s="7"/>
      <c r="F125" s="7"/>
      <c r="G125" s="7"/>
      <c r="H125" s="7"/>
      <c r="I125" s="7"/>
      <c r="J125" s="7"/>
      <c r="L125" s="7"/>
      <c r="M125" s="7"/>
      <c r="N125" s="7"/>
      <c r="O125" s="7"/>
      <c r="P125" s="7"/>
      <c r="Q125" s="7"/>
      <c r="R125" s="7"/>
      <c r="S125" s="7"/>
      <c r="T125" s="7"/>
      <c r="U125" s="7"/>
      <c r="V125" s="7"/>
      <c r="W125" s="7"/>
      <c r="X125" s="7"/>
      <c r="Y125" s="7"/>
      <c r="Z125" s="7"/>
      <c r="AA125" s="7"/>
      <c r="AB125" s="7"/>
      <c r="AC125" s="7"/>
      <c r="AD125" s="7"/>
      <c r="AE125" s="7"/>
      <c r="AF125" s="7"/>
      <c r="AG125" s="7"/>
      <c r="AH125" s="7"/>
      <c r="AI125" s="7"/>
      <c r="AJ125" s="7"/>
      <c r="AK125" s="7"/>
      <c r="AL125" s="7"/>
      <c r="AM125" s="7"/>
      <c r="AN125" s="7"/>
      <c r="AO125" s="7"/>
    </row>
    <row r="126" spans="1:41" ht="16" x14ac:dyDescent="0.2">
      <c r="A126" s="7"/>
      <c r="B126" s="107" t="s">
        <v>468</v>
      </c>
      <c r="C126" s="110"/>
      <c r="D126" s="110" t="s">
        <v>427</v>
      </c>
      <c r="E126" s="7"/>
      <c r="F126" s="7"/>
      <c r="G126" s="7"/>
      <c r="H126" s="7"/>
      <c r="I126" s="7"/>
      <c r="J126" s="7"/>
      <c r="L126" s="7"/>
      <c r="M126" s="7"/>
      <c r="N126" s="7"/>
      <c r="O126" s="7"/>
      <c r="P126" s="7"/>
      <c r="Q126" s="7"/>
      <c r="R126" s="7"/>
      <c r="S126" s="7"/>
      <c r="T126" s="7"/>
      <c r="U126" s="7"/>
      <c r="V126" s="7"/>
      <c r="W126" s="7"/>
      <c r="X126" s="7"/>
      <c r="Y126" s="7"/>
      <c r="Z126" s="7"/>
      <c r="AA126" s="7"/>
      <c r="AB126" s="7"/>
      <c r="AC126" s="7"/>
      <c r="AD126" s="7"/>
      <c r="AE126" s="7"/>
      <c r="AF126" s="7"/>
      <c r="AG126" s="7"/>
      <c r="AH126" s="7"/>
      <c r="AI126" s="7"/>
      <c r="AJ126" s="7"/>
      <c r="AK126" s="7"/>
      <c r="AL126" s="7"/>
      <c r="AM126" s="7"/>
      <c r="AN126" s="7"/>
      <c r="AO126" s="7"/>
    </row>
    <row r="127" spans="1:41" ht="16" x14ac:dyDescent="0.2">
      <c r="A127" s="7"/>
      <c r="B127" s="107" t="s">
        <v>469</v>
      </c>
      <c r="C127" s="110"/>
      <c r="D127" s="110" t="s">
        <v>427</v>
      </c>
      <c r="E127" s="7"/>
      <c r="F127" s="7"/>
      <c r="G127" s="7"/>
      <c r="H127" s="7"/>
      <c r="I127" s="7"/>
      <c r="J127" s="7"/>
      <c r="L127" s="7"/>
      <c r="M127" s="7"/>
      <c r="N127" s="7"/>
      <c r="O127" s="7"/>
      <c r="P127" s="7"/>
      <c r="Q127" s="7"/>
      <c r="R127" s="7"/>
      <c r="S127" s="7"/>
      <c r="T127" s="7"/>
      <c r="U127" s="7"/>
      <c r="V127" s="7"/>
      <c r="W127" s="7"/>
      <c r="X127" s="7"/>
      <c r="Y127" s="7"/>
      <c r="Z127" s="7"/>
      <c r="AA127" s="7"/>
      <c r="AB127" s="7"/>
      <c r="AC127" s="7"/>
      <c r="AD127" s="7"/>
      <c r="AE127" s="7"/>
      <c r="AF127" s="7"/>
      <c r="AG127" s="7"/>
      <c r="AH127" s="7"/>
      <c r="AI127" s="7"/>
      <c r="AJ127" s="7"/>
      <c r="AK127" s="7"/>
      <c r="AL127" s="7"/>
      <c r="AM127" s="7"/>
      <c r="AN127" s="7"/>
      <c r="AO127" s="7"/>
    </row>
    <row r="128" spans="1:41" ht="16" x14ac:dyDescent="0.2">
      <c r="A128" s="7"/>
      <c r="B128" s="107" t="s">
        <v>470</v>
      </c>
      <c r="C128" s="110"/>
      <c r="D128" s="110" t="s">
        <v>427</v>
      </c>
      <c r="E128" s="7"/>
      <c r="F128" s="7"/>
      <c r="G128" s="7"/>
      <c r="H128" s="7"/>
      <c r="I128" s="7"/>
      <c r="J128" s="7"/>
      <c r="L128" s="7"/>
      <c r="M128" s="7"/>
      <c r="N128" s="7"/>
      <c r="O128" s="7"/>
      <c r="P128" s="7"/>
      <c r="Q128" s="7"/>
      <c r="R128" s="7"/>
      <c r="S128" s="7"/>
      <c r="T128" s="7"/>
      <c r="U128" s="7"/>
      <c r="V128" s="7"/>
      <c r="W128" s="7"/>
      <c r="X128" s="7"/>
      <c r="Y128" s="7"/>
      <c r="Z128" s="7"/>
      <c r="AA128" s="7"/>
      <c r="AB128" s="7"/>
      <c r="AC128" s="7"/>
      <c r="AD128" s="7"/>
      <c r="AE128" s="7"/>
      <c r="AF128" s="7"/>
      <c r="AG128" s="7"/>
      <c r="AH128" s="7"/>
      <c r="AI128" s="7"/>
      <c r="AJ128" s="7"/>
      <c r="AK128" s="7"/>
      <c r="AL128" s="7"/>
      <c r="AM128" s="7"/>
      <c r="AN128" s="7"/>
      <c r="AO128" s="7"/>
    </row>
    <row r="129" spans="1:41" ht="16" x14ac:dyDescent="0.2">
      <c r="A129" s="7"/>
      <c r="B129" s="107" t="s">
        <v>471</v>
      </c>
      <c r="C129" s="110"/>
      <c r="D129" s="110" t="s">
        <v>427</v>
      </c>
      <c r="E129" s="7"/>
      <c r="F129" s="7"/>
      <c r="G129" s="7"/>
      <c r="H129" s="7"/>
      <c r="I129" s="7"/>
      <c r="J129" s="7"/>
      <c r="L129" s="7"/>
      <c r="M129" s="7"/>
      <c r="N129" s="7"/>
      <c r="O129" s="7"/>
      <c r="P129" s="7"/>
      <c r="Q129" s="7"/>
      <c r="R129" s="7"/>
      <c r="S129" s="7"/>
      <c r="T129" s="7"/>
      <c r="U129" s="7"/>
      <c r="V129" s="7"/>
      <c r="W129" s="7"/>
      <c r="X129" s="7"/>
      <c r="Y129" s="7"/>
      <c r="Z129" s="7"/>
      <c r="AA129" s="7"/>
      <c r="AB129" s="7"/>
      <c r="AC129" s="7"/>
      <c r="AD129" s="7"/>
      <c r="AE129" s="7"/>
      <c r="AF129" s="7"/>
      <c r="AG129" s="7"/>
      <c r="AH129" s="7"/>
      <c r="AI129" s="7"/>
      <c r="AJ129" s="7"/>
      <c r="AK129" s="7"/>
      <c r="AL129" s="7"/>
      <c r="AM129" s="7"/>
      <c r="AN129" s="7"/>
      <c r="AO129" s="7"/>
    </row>
    <row r="130" spans="1:41" x14ac:dyDescent="0.2">
      <c r="A130" s="7"/>
      <c r="B130" s="7"/>
      <c r="C130" s="106"/>
      <c r="D130" s="106"/>
      <c r="E130" s="7"/>
      <c r="F130" s="7"/>
      <c r="G130" s="7"/>
      <c r="H130" s="7"/>
      <c r="I130" s="7"/>
      <c r="J130" s="7"/>
      <c r="L130" s="7"/>
      <c r="M130" s="7"/>
      <c r="N130" s="7"/>
      <c r="O130" s="7"/>
      <c r="P130" s="7"/>
      <c r="Q130" s="7"/>
      <c r="R130" s="7"/>
      <c r="S130" s="7"/>
      <c r="T130" s="7"/>
      <c r="U130" s="7"/>
      <c r="V130" s="7"/>
      <c r="W130" s="7"/>
      <c r="X130" s="7"/>
      <c r="Y130" s="7"/>
      <c r="Z130" s="7"/>
      <c r="AA130" s="7"/>
      <c r="AB130" s="7"/>
      <c r="AC130" s="7"/>
      <c r="AD130" s="7"/>
      <c r="AE130" s="7"/>
      <c r="AF130" s="7"/>
      <c r="AG130" s="7"/>
      <c r="AH130" s="7"/>
      <c r="AI130" s="7"/>
      <c r="AJ130" s="7"/>
      <c r="AK130" s="7"/>
      <c r="AL130" s="7"/>
      <c r="AM130" s="7"/>
      <c r="AN130" s="7"/>
      <c r="AO130" s="7"/>
    </row>
  </sheetData>
  <mergeCells count="15">
    <mergeCell ref="B80:D80"/>
    <mergeCell ref="B2:J2"/>
    <mergeCell ref="B25:J25"/>
    <mergeCell ref="B78:D78"/>
    <mergeCell ref="B5:N5"/>
    <mergeCell ref="B3:N3"/>
    <mergeCell ref="B7:N7"/>
    <mergeCell ref="B27:D27"/>
    <mergeCell ref="B29:D29"/>
    <mergeCell ref="B46:P46"/>
    <mergeCell ref="B48:P48"/>
    <mergeCell ref="B64:C64"/>
    <mergeCell ref="B6:J6"/>
    <mergeCell ref="B26:J26"/>
    <mergeCell ref="B66:C66"/>
  </mergeCells>
  <phoneticPr fontId="15" type="noConversion"/>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3"/>
  </sheetPr>
  <dimension ref="A1:W122"/>
  <sheetViews>
    <sheetView showGridLines="0" zoomScaleNormal="100" workbookViewId="0">
      <pane xSplit="1" ySplit="4" topLeftCell="B100" activePane="bottomRight" state="frozen"/>
      <selection pane="topRight"/>
      <selection pane="bottomLeft"/>
      <selection pane="bottomRight" activeCell="C122" sqref="C122"/>
    </sheetView>
  </sheetViews>
  <sheetFormatPr baseColWidth="10" defaultColWidth="8.6640625" defaultRowHeight="15" x14ac:dyDescent="0.2"/>
  <cols>
    <col min="1" max="1" width="2.5" style="67" customWidth="1"/>
    <col min="2" max="2" width="44.5" style="67" bestFit="1" customWidth="1"/>
    <col min="3" max="3" width="28" style="67" customWidth="1"/>
    <col min="4" max="9" width="25.5" style="67" customWidth="1"/>
    <col min="10" max="11" width="15.83203125" style="67" customWidth="1"/>
    <col min="12" max="12" width="30.5" style="67" customWidth="1"/>
    <col min="13" max="23" width="15.83203125" style="67" customWidth="1"/>
    <col min="24" max="16384" width="8.6640625" style="67"/>
  </cols>
  <sheetData>
    <row r="1" spans="2:21" x14ac:dyDescent="0.2">
      <c r="B1" s="17"/>
      <c r="C1" s="17"/>
      <c r="D1" s="17"/>
      <c r="E1" s="17"/>
      <c r="F1" s="17"/>
      <c r="G1" s="17"/>
      <c r="H1" s="17"/>
      <c r="I1" s="17"/>
      <c r="J1" s="17"/>
      <c r="K1" s="17"/>
      <c r="L1" s="17"/>
      <c r="M1" s="17"/>
      <c r="N1" s="17"/>
      <c r="O1" s="17"/>
      <c r="P1" s="17"/>
      <c r="Q1" s="17"/>
      <c r="R1" s="17"/>
      <c r="S1" s="17"/>
      <c r="T1" s="17"/>
      <c r="U1" s="17"/>
    </row>
    <row r="2" spans="2:21" ht="20" x14ac:dyDescent="0.25">
      <c r="B2" s="239" t="s">
        <v>472</v>
      </c>
      <c r="C2" s="240"/>
      <c r="D2" s="240"/>
      <c r="E2" s="240"/>
      <c r="F2" s="240"/>
      <c r="G2" s="240"/>
      <c r="H2" s="240"/>
      <c r="I2" s="240"/>
      <c r="J2" s="240"/>
      <c r="K2" s="240"/>
      <c r="L2" s="240"/>
      <c r="M2" s="240"/>
      <c r="N2" s="240"/>
      <c r="O2" s="240"/>
      <c r="P2" s="240"/>
      <c r="Q2" s="240"/>
      <c r="R2" s="240"/>
      <c r="S2" s="240"/>
      <c r="T2" s="240"/>
      <c r="U2" s="68"/>
    </row>
    <row r="3" spans="2:21" ht="14.5" customHeight="1" x14ac:dyDescent="0.2">
      <c r="B3" s="199" t="s">
        <v>473</v>
      </c>
      <c r="C3" s="200"/>
      <c r="D3" s="200"/>
      <c r="E3" s="200"/>
      <c r="F3" s="200"/>
      <c r="G3" s="200"/>
      <c r="H3" s="200"/>
      <c r="I3" s="200"/>
      <c r="J3" s="200"/>
      <c r="K3" s="200"/>
      <c r="L3" s="200"/>
      <c r="M3" s="200"/>
      <c r="N3" s="200"/>
      <c r="O3" s="200"/>
      <c r="P3" s="200"/>
      <c r="Q3" s="200"/>
      <c r="R3" s="200"/>
      <c r="S3" s="200"/>
      <c r="T3" s="200"/>
      <c r="U3" s="201"/>
    </row>
    <row r="4" spans="2:21" x14ac:dyDescent="0.2">
      <c r="B4" s="17"/>
      <c r="C4" s="17"/>
      <c r="D4" s="17"/>
      <c r="E4" s="17"/>
      <c r="F4" s="17"/>
      <c r="G4" s="17"/>
      <c r="H4" s="17"/>
      <c r="I4" s="17"/>
      <c r="J4" s="17"/>
      <c r="K4" s="17"/>
      <c r="L4" s="17"/>
      <c r="M4" s="17"/>
      <c r="N4" s="17"/>
      <c r="O4" s="17"/>
      <c r="P4" s="17"/>
      <c r="Q4" s="17"/>
      <c r="R4" s="17"/>
      <c r="S4" s="17"/>
      <c r="T4" s="17"/>
      <c r="U4" s="17"/>
    </row>
    <row r="5" spans="2:21" x14ac:dyDescent="0.2">
      <c r="B5" s="223" t="s">
        <v>474</v>
      </c>
      <c r="C5" s="244"/>
      <c r="D5" s="244"/>
      <c r="E5" s="244"/>
      <c r="F5" s="244"/>
      <c r="G5" s="244"/>
      <c r="H5" s="244"/>
      <c r="I5" s="244"/>
      <c r="J5" s="244"/>
      <c r="K5" s="244"/>
      <c r="L5" s="244"/>
      <c r="M5" s="244"/>
      <c r="N5" s="244"/>
      <c r="O5" s="244"/>
      <c r="P5" s="244"/>
      <c r="Q5" s="244"/>
      <c r="R5" s="244"/>
      <c r="S5" s="244"/>
      <c r="T5" s="244"/>
      <c r="U5" s="245"/>
    </row>
    <row r="6" spans="2:21" x14ac:dyDescent="0.2">
      <c r="B6" s="146"/>
      <c r="C6" s="51"/>
      <c r="D6" s="51"/>
      <c r="E6" s="51"/>
      <c r="F6" s="51"/>
      <c r="G6" s="51"/>
      <c r="H6" s="51"/>
      <c r="I6" s="51"/>
      <c r="J6" s="51"/>
      <c r="K6" s="51"/>
      <c r="L6" s="51"/>
      <c r="M6" s="51"/>
      <c r="N6" s="51"/>
      <c r="O6" s="51"/>
      <c r="P6" s="51"/>
      <c r="Q6" s="51"/>
      <c r="R6" s="51"/>
      <c r="S6" s="51"/>
      <c r="T6" s="51"/>
      <c r="U6" s="17"/>
    </row>
    <row r="7" spans="2:21" x14ac:dyDescent="0.2">
      <c r="B7" s="224" t="s">
        <v>475</v>
      </c>
      <c r="C7" s="225"/>
      <c r="D7" s="225"/>
      <c r="E7" s="225"/>
      <c r="F7" s="225"/>
      <c r="G7" s="225"/>
      <c r="H7" s="225"/>
      <c r="I7" s="225"/>
      <c r="J7" s="225"/>
      <c r="K7" s="225"/>
      <c r="L7" s="225"/>
      <c r="M7" s="225"/>
      <c r="N7" s="225"/>
      <c r="O7" s="225"/>
      <c r="P7" s="225"/>
      <c r="Q7" s="225"/>
      <c r="R7" s="225"/>
      <c r="S7" s="225"/>
      <c r="T7" s="225"/>
      <c r="U7" s="225"/>
    </row>
    <row r="8" spans="2:21" x14ac:dyDescent="0.2">
      <c r="B8" s="17"/>
      <c r="C8" s="17"/>
      <c r="D8" s="17"/>
      <c r="E8" s="17"/>
      <c r="F8" s="17"/>
      <c r="G8" s="17"/>
      <c r="H8" s="17"/>
      <c r="I8" s="17"/>
      <c r="J8" s="17"/>
      <c r="K8" s="17"/>
      <c r="L8" s="17"/>
      <c r="M8" s="17"/>
      <c r="N8" s="17"/>
      <c r="O8" s="17"/>
      <c r="P8" s="17"/>
      <c r="Q8" s="17"/>
      <c r="R8" s="17"/>
      <c r="S8" s="17"/>
      <c r="T8" s="17"/>
      <c r="U8" s="17"/>
    </row>
    <row r="9" spans="2:21" ht="39.5" customHeight="1" x14ac:dyDescent="0.2">
      <c r="B9" s="9" t="s">
        <v>476</v>
      </c>
      <c r="C9" s="27" t="s">
        <v>477</v>
      </c>
      <c r="D9" s="27" t="s">
        <v>478</v>
      </c>
      <c r="E9" s="27" t="s">
        <v>479</v>
      </c>
      <c r="F9" s="27" t="s">
        <v>480</v>
      </c>
      <c r="G9" s="27" t="s">
        <v>481</v>
      </c>
      <c r="H9" s="27" t="s">
        <v>482</v>
      </c>
      <c r="I9" s="27" t="s">
        <v>483</v>
      </c>
      <c r="J9" s="68"/>
      <c r="K9" s="68"/>
      <c r="L9" s="68"/>
      <c r="M9" s="68"/>
      <c r="N9" s="68"/>
      <c r="O9" s="68"/>
      <c r="P9" s="68"/>
      <c r="Q9" s="68"/>
      <c r="R9" s="68"/>
      <c r="S9" s="68"/>
      <c r="T9" s="68"/>
      <c r="U9" s="68"/>
    </row>
    <row r="10" spans="2:21" ht="16" x14ac:dyDescent="0.2">
      <c r="B10" s="77"/>
      <c r="C10" s="77"/>
      <c r="D10" s="77" t="s">
        <v>484</v>
      </c>
      <c r="E10" s="77" t="s">
        <v>484</v>
      </c>
      <c r="F10" s="77" t="s">
        <v>484</v>
      </c>
      <c r="G10" s="77" t="s">
        <v>484</v>
      </c>
      <c r="H10" s="77" t="s">
        <v>484</v>
      </c>
      <c r="I10" s="77" t="s">
        <v>484</v>
      </c>
      <c r="J10" s="68"/>
      <c r="K10" s="68"/>
      <c r="L10" s="68"/>
      <c r="M10" s="68"/>
      <c r="N10" s="68"/>
      <c r="O10" s="68"/>
      <c r="P10" s="68"/>
      <c r="Q10" s="68"/>
      <c r="R10" s="68"/>
      <c r="S10" s="68"/>
      <c r="T10" s="68"/>
      <c r="U10" s="68"/>
    </row>
    <row r="11" spans="2:21" ht="57.75" customHeight="1" x14ac:dyDescent="0.2">
      <c r="B11" s="220" t="s">
        <v>485</v>
      </c>
      <c r="C11" s="78" t="s">
        <v>486</v>
      </c>
      <c r="D11" s="226" t="s">
        <v>487</v>
      </c>
      <c r="E11" s="227"/>
      <c r="F11" s="227"/>
      <c r="G11" s="227"/>
      <c r="H11" s="227"/>
      <c r="I11" s="228"/>
      <c r="J11" s="68"/>
      <c r="K11" s="68"/>
      <c r="L11" s="68"/>
      <c r="M11" s="68"/>
      <c r="N11" s="68"/>
      <c r="O11" s="68"/>
      <c r="P11" s="68"/>
      <c r="Q11" s="68"/>
      <c r="R11" s="68"/>
      <c r="S11" s="68"/>
      <c r="T11" s="68"/>
      <c r="U11" s="68"/>
    </row>
    <row r="12" spans="2:21" ht="16" x14ac:dyDescent="0.2">
      <c r="B12" s="221"/>
      <c r="C12" s="76" t="s">
        <v>488</v>
      </c>
      <c r="D12" s="229"/>
      <c r="E12" s="230"/>
      <c r="F12" s="230"/>
      <c r="G12" s="230"/>
      <c r="H12" s="230"/>
      <c r="I12" s="231"/>
      <c r="J12" s="68"/>
      <c r="K12" s="68"/>
      <c r="L12" s="68"/>
      <c r="M12" s="68"/>
      <c r="N12" s="68"/>
      <c r="O12" s="68"/>
      <c r="P12" s="68"/>
      <c r="Q12" s="68"/>
      <c r="R12" s="68"/>
      <c r="S12" s="68"/>
      <c r="T12" s="68"/>
      <c r="U12" s="68"/>
    </row>
    <row r="13" spans="2:21" s="68" customFormat="1" ht="16" x14ac:dyDescent="0.2">
      <c r="B13" s="221"/>
      <c r="C13" s="76" t="s">
        <v>489</v>
      </c>
      <c r="D13" s="229"/>
      <c r="E13" s="230"/>
      <c r="F13" s="230"/>
      <c r="G13" s="230"/>
      <c r="H13" s="230"/>
      <c r="I13" s="231"/>
    </row>
    <row r="14" spans="2:21" s="68" customFormat="1" ht="16" x14ac:dyDescent="0.2">
      <c r="B14" s="221"/>
      <c r="C14" s="76" t="s">
        <v>490</v>
      </c>
      <c r="D14" s="229"/>
      <c r="E14" s="230"/>
      <c r="F14" s="230"/>
      <c r="G14" s="230"/>
      <c r="H14" s="230"/>
      <c r="I14" s="231"/>
    </row>
    <row r="15" spans="2:21" s="68" customFormat="1" ht="16" x14ac:dyDescent="0.2">
      <c r="B15" s="221"/>
      <c r="C15" s="76" t="s">
        <v>491</v>
      </c>
      <c r="D15" s="229"/>
      <c r="E15" s="230"/>
      <c r="F15" s="230"/>
      <c r="G15" s="230"/>
      <c r="H15" s="230"/>
      <c r="I15" s="231"/>
    </row>
    <row r="16" spans="2:21" s="68" customFormat="1" ht="16" x14ac:dyDescent="0.2">
      <c r="B16" s="222"/>
      <c r="C16" s="79" t="s">
        <v>492</v>
      </c>
      <c r="D16" s="229"/>
      <c r="E16" s="230"/>
      <c r="F16" s="230"/>
      <c r="G16" s="230"/>
      <c r="H16" s="230"/>
      <c r="I16" s="231"/>
    </row>
    <row r="17" spans="2:9" s="68" customFormat="1" ht="16" x14ac:dyDescent="0.2">
      <c r="B17" s="220" t="s">
        <v>493</v>
      </c>
      <c r="C17" s="78" t="s">
        <v>494</v>
      </c>
      <c r="D17" s="229"/>
      <c r="E17" s="230"/>
      <c r="F17" s="230"/>
      <c r="G17" s="230"/>
      <c r="H17" s="230"/>
      <c r="I17" s="231"/>
    </row>
    <row r="18" spans="2:9" s="68" customFormat="1" ht="16" x14ac:dyDescent="0.2">
      <c r="B18" s="221"/>
      <c r="C18" s="76" t="s">
        <v>495</v>
      </c>
      <c r="D18" s="229"/>
      <c r="E18" s="230"/>
      <c r="F18" s="230"/>
      <c r="G18" s="230"/>
      <c r="H18" s="230"/>
      <c r="I18" s="231"/>
    </row>
    <row r="19" spans="2:9" s="68" customFormat="1" ht="16" x14ac:dyDescent="0.2">
      <c r="B19" s="221"/>
      <c r="C19" s="76" t="s">
        <v>201</v>
      </c>
      <c r="D19" s="229"/>
      <c r="E19" s="230"/>
      <c r="F19" s="230"/>
      <c r="G19" s="230"/>
      <c r="H19" s="230"/>
      <c r="I19" s="231"/>
    </row>
    <row r="20" spans="2:9" s="68" customFormat="1" ht="16" x14ac:dyDescent="0.2">
      <c r="B20" s="221"/>
      <c r="C20" s="76" t="s">
        <v>496</v>
      </c>
      <c r="D20" s="229"/>
      <c r="E20" s="230"/>
      <c r="F20" s="230"/>
      <c r="G20" s="230"/>
      <c r="H20" s="230"/>
      <c r="I20" s="231"/>
    </row>
    <row r="21" spans="2:9" s="68" customFormat="1" ht="16" x14ac:dyDescent="0.2">
      <c r="B21" s="221"/>
      <c r="C21" s="76" t="s">
        <v>497</v>
      </c>
      <c r="D21" s="229"/>
      <c r="E21" s="230"/>
      <c r="F21" s="230"/>
      <c r="G21" s="230"/>
      <c r="H21" s="230"/>
      <c r="I21" s="231"/>
    </row>
    <row r="22" spans="2:9" s="68" customFormat="1" ht="16" x14ac:dyDescent="0.2">
      <c r="B22" s="221"/>
      <c r="C22" s="76" t="s">
        <v>498</v>
      </c>
      <c r="D22" s="229"/>
      <c r="E22" s="230"/>
      <c r="F22" s="230"/>
      <c r="G22" s="230"/>
      <c r="H22" s="230"/>
      <c r="I22" s="231"/>
    </row>
    <row r="23" spans="2:9" s="68" customFormat="1" ht="16" x14ac:dyDescent="0.2">
      <c r="B23" s="221"/>
      <c r="C23" s="76" t="s">
        <v>499</v>
      </c>
      <c r="D23" s="229"/>
      <c r="E23" s="230"/>
      <c r="F23" s="230"/>
      <c r="G23" s="230"/>
      <c r="H23" s="230"/>
      <c r="I23" s="231"/>
    </row>
    <row r="24" spans="2:9" s="68" customFormat="1" ht="16" x14ac:dyDescent="0.2">
      <c r="B24" s="221"/>
      <c r="C24" s="76" t="s">
        <v>500</v>
      </c>
      <c r="D24" s="229"/>
      <c r="E24" s="230"/>
      <c r="F24" s="230"/>
      <c r="G24" s="230"/>
      <c r="H24" s="230"/>
      <c r="I24" s="231"/>
    </row>
    <row r="25" spans="2:9" s="68" customFormat="1" ht="16" x14ac:dyDescent="0.2">
      <c r="B25" s="222"/>
      <c r="C25" s="79" t="s">
        <v>501</v>
      </c>
      <c r="D25" s="229"/>
      <c r="E25" s="230"/>
      <c r="F25" s="230"/>
      <c r="G25" s="230"/>
      <c r="H25" s="230"/>
      <c r="I25" s="231"/>
    </row>
    <row r="26" spans="2:9" s="68" customFormat="1" ht="16" x14ac:dyDescent="0.2">
      <c r="B26" s="220" t="s">
        <v>502</v>
      </c>
      <c r="C26" s="78" t="s">
        <v>503</v>
      </c>
      <c r="D26" s="229"/>
      <c r="E26" s="230"/>
      <c r="F26" s="230"/>
      <c r="G26" s="230"/>
      <c r="H26" s="230"/>
      <c r="I26" s="231"/>
    </row>
    <row r="27" spans="2:9" s="68" customFormat="1" ht="16" x14ac:dyDescent="0.2">
      <c r="B27" s="221"/>
      <c r="C27" s="76" t="s">
        <v>504</v>
      </c>
      <c r="D27" s="229"/>
      <c r="E27" s="230"/>
      <c r="F27" s="230"/>
      <c r="G27" s="230"/>
      <c r="H27" s="230"/>
      <c r="I27" s="231"/>
    </row>
    <row r="28" spans="2:9" s="68" customFormat="1" ht="16" x14ac:dyDescent="0.2">
      <c r="B28" s="221"/>
      <c r="C28" s="76" t="s">
        <v>505</v>
      </c>
      <c r="D28" s="229"/>
      <c r="E28" s="230"/>
      <c r="F28" s="230"/>
      <c r="G28" s="230"/>
      <c r="H28" s="230"/>
      <c r="I28" s="231"/>
    </row>
    <row r="29" spans="2:9" s="68" customFormat="1" ht="16" x14ac:dyDescent="0.2">
      <c r="B29" s="221"/>
      <c r="C29" s="76" t="s">
        <v>506</v>
      </c>
      <c r="D29" s="229"/>
      <c r="E29" s="230"/>
      <c r="F29" s="230"/>
      <c r="G29" s="230"/>
      <c r="H29" s="230"/>
      <c r="I29" s="231"/>
    </row>
    <row r="30" spans="2:9" s="68" customFormat="1" ht="16" x14ac:dyDescent="0.2">
      <c r="B30" s="221"/>
      <c r="C30" s="76" t="s">
        <v>507</v>
      </c>
      <c r="D30" s="229"/>
      <c r="E30" s="230"/>
      <c r="F30" s="230"/>
      <c r="G30" s="230"/>
      <c r="H30" s="230"/>
      <c r="I30" s="231"/>
    </row>
    <row r="31" spans="2:9" s="68" customFormat="1" ht="16" x14ac:dyDescent="0.2">
      <c r="B31" s="221"/>
      <c r="C31" s="76" t="s">
        <v>508</v>
      </c>
      <c r="D31" s="229"/>
      <c r="E31" s="230"/>
      <c r="F31" s="230"/>
      <c r="G31" s="230"/>
      <c r="H31" s="230"/>
      <c r="I31" s="231"/>
    </row>
    <row r="32" spans="2:9" s="68" customFormat="1" ht="16" x14ac:dyDescent="0.2">
      <c r="B32" s="221"/>
      <c r="C32" s="76" t="s">
        <v>509</v>
      </c>
      <c r="D32" s="229"/>
      <c r="E32" s="230"/>
      <c r="F32" s="230"/>
      <c r="G32" s="230"/>
      <c r="H32" s="230"/>
      <c r="I32" s="231"/>
    </row>
    <row r="33" spans="2:22" s="68" customFormat="1" ht="16" x14ac:dyDescent="0.2">
      <c r="B33" s="221"/>
      <c r="C33" s="76" t="s">
        <v>510</v>
      </c>
      <c r="D33" s="229"/>
      <c r="E33" s="230"/>
      <c r="F33" s="230"/>
      <c r="G33" s="230"/>
      <c r="H33" s="230"/>
      <c r="I33" s="231"/>
    </row>
    <row r="34" spans="2:22" s="68" customFormat="1" ht="16" x14ac:dyDescent="0.2">
      <c r="B34" s="222"/>
      <c r="C34" s="79" t="s">
        <v>511</v>
      </c>
      <c r="D34" s="232"/>
      <c r="E34" s="233"/>
      <c r="F34" s="233"/>
      <c r="G34" s="233"/>
      <c r="H34" s="233"/>
      <c r="I34" s="234"/>
    </row>
    <row r="35" spans="2:22" s="68" customFormat="1" x14ac:dyDescent="0.2">
      <c r="B35" s="84"/>
      <c r="C35" s="85"/>
      <c r="D35" s="34"/>
      <c r="E35" s="34"/>
      <c r="F35" s="34"/>
      <c r="G35" s="34"/>
      <c r="H35" s="34"/>
      <c r="I35" s="34"/>
    </row>
    <row r="36" spans="2:22" s="68" customFormat="1" x14ac:dyDescent="0.2">
      <c r="B36" s="223" t="s">
        <v>512</v>
      </c>
      <c r="C36" s="223"/>
      <c r="D36" s="223"/>
      <c r="E36" s="223"/>
      <c r="F36" s="223"/>
      <c r="G36" s="223"/>
      <c r="H36" s="223"/>
      <c r="I36" s="223"/>
      <c r="J36" s="223"/>
      <c r="K36" s="223"/>
      <c r="L36" s="223"/>
      <c r="M36" s="223"/>
      <c r="N36" s="223"/>
      <c r="O36" s="223"/>
      <c r="P36" s="223"/>
      <c r="Q36" s="223"/>
      <c r="R36" s="223"/>
      <c r="S36" s="223"/>
      <c r="T36" s="223"/>
      <c r="U36" s="223"/>
    </row>
    <row r="37" spans="2:22" s="68" customFormat="1" x14ac:dyDescent="0.2">
      <c r="B37" s="51"/>
      <c r="C37" s="51"/>
      <c r="D37" s="51"/>
      <c r="E37" s="51"/>
      <c r="F37" s="51"/>
      <c r="G37" s="51"/>
      <c r="H37" s="51"/>
      <c r="I37" s="51"/>
      <c r="J37" s="51"/>
      <c r="K37" s="51"/>
      <c r="L37" s="51"/>
      <c r="M37" s="51"/>
      <c r="N37" s="51"/>
      <c r="O37" s="51"/>
      <c r="P37" s="51"/>
      <c r="Q37" s="51"/>
      <c r="R37" s="51"/>
      <c r="S37" s="51"/>
      <c r="T37" s="51"/>
      <c r="U37" s="17"/>
    </row>
    <row r="38" spans="2:22" s="68" customFormat="1" ht="14.5" customHeight="1" x14ac:dyDescent="0.2">
      <c r="B38" s="224" t="s">
        <v>513</v>
      </c>
      <c r="C38" s="225"/>
      <c r="D38" s="225"/>
      <c r="E38" s="225"/>
      <c r="F38" s="225"/>
      <c r="G38" s="225"/>
      <c r="H38" s="225"/>
      <c r="I38" s="225"/>
      <c r="J38" s="225"/>
      <c r="K38" s="225"/>
      <c r="L38" s="225"/>
      <c r="M38" s="225"/>
      <c r="N38" s="225"/>
      <c r="O38" s="225"/>
      <c r="P38" s="225"/>
      <c r="Q38" s="225"/>
      <c r="R38" s="225"/>
      <c r="S38" s="225"/>
      <c r="T38" s="225"/>
      <c r="U38" s="225"/>
    </row>
    <row r="39" spans="2:22" x14ac:dyDescent="0.2">
      <c r="B39" s="17"/>
      <c r="C39" s="17"/>
      <c r="D39" s="17"/>
      <c r="E39" s="17"/>
      <c r="F39" s="17"/>
      <c r="G39" s="17"/>
      <c r="H39" s="17"/>
      <c r="I39" s="17"/>
      <c r="J39" s="17"/>
      <c r="K39" s="17"/>
      <c r="L39" s="17"/>
      <c r="M39" s="17"/>
      <c r="N39" s="17"/>
      <c r="O39" s="17"/>
      <c r="P39" s="17"/>
      <c r="Q39" s="17"/>
      <c r="R39" s="17"/>
      <c r="S39" s="17"/>
      <c r="T39" s="17"/>
      <c r="U39" s="17"/>
      <c r="V39" s="68"/>
    </row>
    <row r="40" spans="2:22" s="68" customFormat="1" ht="16" x14ac:dyDescent="0.2">
      <c r="B40" s="9" t="s">
        <v>514</v>
      </c>
      <c r="C40" s="74" t="s">
        <v>515</v>
      </c>
      <c r="D40" s="74" t="s">
        <v>516</v>
      </c>
      <c r="E40" s="17"/>
      <c r="F40" s="17"/>
      <c r="G40" s="17"/>
      <c r="H40" s="17"/>
      <c r="I40" s="17"/>
      <c r="J40" s="17"/>
      <c r="K40" s="17"/>
      <c r="L40" s="17"/>
      <c r="M40" s="17"/>
      <c r="N40" s="17"/>
      <c r="O40" s="17"/>
      <c r="P40" s="17"/>
      <c r="Q40" s="17"/>
      <c r="R40" s="17"/>
      <c r="S40" s="17"/>
      <c r="T40" s="17"/>
      <c r="U40" s="17"/>
    </row>
    <row r="41" spans="2:22" s="68" customFormat="1" ht="16" x14ac:dyDescent="0.2">
      <c r="B41" s="19" t="s">
        <v>517</v>
      </c>
      <c r="C41" s="122">
        <v>0</v>
      </c>
      <c r="D41" s="249" t="s">
        <v>518</v>
      </c>
      <c r="E41" s="17"/>
      <c r="F41" s="17"/>
      <c r="G41" s="17"/>
      <c r="H41" s="17"/>
      <c r="I41" s="17"/>
      <c r="J41" s="17"/>
      <c r="K41" s="17"/>
      <c r="L41" s="17"/>
      <c r="M41" s="17"/>
      <c r="N41" s="17"/>
      <c r="O41" s="17"/>
      <c r="P41" s="17"/>
      <c r="Q41" s="17"/>
      <c r="R41" s="17"/>
      <c r="S41" s="17"/>
      <c r="T41" s="17"/>
      <c r="U41" s="17"/>
    </row>
    <row r="42" spans="2:22" s="68" customFormat="1" ht="16" x14ac:dyDescent="0.2">
      <c r="B42" s="19" t="s">
        <v>519</v>
      </c>
      <c r="C42" s="122">
        <v>0</v>
      </c>
      <c r="D42" s="249"/>
      <c r="E42" s="17"/>
      <c r="F42" s="17"/>
      <c r="G42" s="17"/>
      <c r="H42" s="17"/>
      <c r="I42" s="17"/>
      <c r="J42" s="17"/>
      <c r="K42" s="17"/>
      <c r="L42" s="17"/>
      <c r="M42" s="17"/>
      <c r="N42" s="17"/>
      <c r="O42" s="17"/>
      <c r="P42" s="17"/>
      <c r="Q42" s="17"/>
      <c r="R42" s="17"/>
      <c r="S42" s="17"/>
      <c r="T42" s="17"/>
      <c r="U42" s="17"/>
    </row>
    <row r="43" spans="2:22" s="68" customFormat="1" ht="16" x14ac:dyDescent="0.2">
      <c r="B43" s="19" t="s">
        <v>520</v>
      </c>
      <c r="C43" s="122">
        <v>0</v>
      </c>
      <c r="D43" s="249"/>
      <c r="E43" s="17"/>
      <c r="F43" s="17"/>
      <c r="G43" s="17"/>
      <c r="H43" s="17"/>
      <c r="I43" s="17"/>
      <c r="J43" s="17"/>
      <c r="K43" s="17"/>
      <c r="L43" s="17"/>
      <c r="M43" s="17"/>
      <c r="N43" s="17"/>
      <c r="O43" s="17"/>
      <c r="P43" s="17"/>
      <c r="Q43" s="17"/>
      <c r="R43" s="17"/>
      <c r="S43" s="17"/>
      <c r="T43" s="17"/>
      <c r="U43" s="17"/>
    </row>
    <row r="44" spans="2:22" s="68" customFormat="1" ht="16" x14ac:dyDescent="0.2">
      <c r="B44" s="19" t="s">
        <v>521</v>
      </c>
      <c r="C44" s="122">
        <v>0</v>
      </c>
      <c r="D44" s="249"/>
      <c r="E44" s="17"/>
      <c r="F44" s="17"/>
      <c r="G44" s="17"/>
      <c r="H44" s="17"/>
      <c r="I44" s="17"/>
      <c r="J44" s="17"/>
      <c r="K44" s="17"/>
      <c r="L44" s="17"/>
      <c r="M44" s="17"/>
      <c r="N44" s="17"/>
      <c r="O44" s="17"/>
      <c r="P44" s="17"/>
      <c r="Q44" s="17"/>
      <c r="R44" s="17"/>
      <c r="S44" s="17"/>
      <c r="T44" s="17"/>
      <c r="U44" s="17"/>
    </row>
    <row r="45" spans="2:22" s="68" customFormat="1" ht="16" x14ac:dyDescent="0.2">
      <c r="B45" s="19" t="s">
        <v>522</v>
      </c>
      <c r="C45" s="122">
        <v>0</v>
      </c>
      <c r="D45" s="249"/>
      <c r="E45" s="17"/>
      <c r="F45" s="17"/>
      <c r="G45" s="17"/>
      <c r="H45" s="17"/>
      <c r="I45" s="17"/>
      <c r="J45" s="17"/>
      <c r="K45" s="17"/>
      <c r="L45" s="17"/>
      <c r="M45" s="17"/>
      <c r="N45" s="17"/>
      <c r="O45" s="17"/>
      <c r="P45" s="17"/>
      <c r="Q45" s="17"/>
      <c r="R45" s="17"/>
      <c r="S45" s="17"/>
      <c r="T45" s="17"/>
      <c r="U45" s="17"/>
    </row>
    <row r="46" spans="2:22" s="68" customFormat="1" ht="16" x14ac:dyDescent="0.2">
      <c r="B46" s="19" t="s">
        <v>523</v>
      </c>
      <c r="C46" s="122">
        <v>0</v>
      </c>
      <c r="D46" s="249"/>
      <c r="E46" s="17"/>
      <c r="F46" s="17"/>
      <c r="G46" s="17"/>
      <c r="H46" s="17"/>
      <c r="I46" s="17"/>
      <c r="J46" s="17"/>
      <c r="K46" s="17"/>
      <c r="L46" s="17"/>
      <c r="M46" s="17"/>
      <c r="N46" s="17"/>
      <c r="O46" s="17"/>
      <c r="P46" s="17"/>
      <c r="Q46" s="17"/>
      <c r="R46" s="17"/>
      <c r="S46" s="17"/>
      <c r="T46" s="17"/>
      <c r="U46" s="17"/>
    </row>
    <row r="47" spans="2:22" customFormat="1" x14ac:dyDescent="0.2">
      <c r="B47" s="7"/>
      <c r="C47" s="7"/>
      <c r="D47" s="7"/>
      <c r="E47" s="7"/>
      <c r="F47" s="7"/>
      <c r="G47" s="7"/>
      <c r="H47" s="7"/>
      <c r="I47" s="7"/>
      <c r="J47" s="7"/>
      <c r="K47" s="7"/>
      <c r="L47" s="7"/>
      <c r="M47" s="7"/>
      <c r="N47" s="7"/>
      <c r="O47" s="7"/>
      <c r="P47" s="7"/>
      <c r="Q47" s="7"/>
      <c r="R47" s="7"/>
      <c r="S47" s="7"/>
      <c r="T47" s="7"/>
      <c r="U47" s="7"/>
      <c r="V47" s="7"/>
    </row>
    <row r="48" spans="2:22" x14ac:dyDescent="0.2">
      <c r="B48" s="246" t="s">
        <v>524</v>
      </c>
      <c r="C48" s="247"/>
      <c r="D48" s="247"/>
      <c r="E48" s="247"/>
      <c r="F48" s="247"/>
      <c r="G48" s="247"/>
      <c r="H48" s="247"/>
      <c r="I48" s="247"/>
      <c r="J48" s="247"/>
      <c r="K48" s="247"/>
      <c r="L48" s="247"/>
      <c r="M48" s="247"/>
      <c r="N48" s="247"/>
      <c r="O48" s="247"/>
      <c r="P48" s="247"/>
      <c r="Q48" s="247"/>
      <c r="R48" s="247"/>
      <c r="S48" s="247"/>
      <c r="T48" s="247"/>
      <c r="U48" s="247"/>
      <c r="V48" s="248"/>
    </row>
    <row r="49" spans="2:22" x14ac:dyDescent="0.2">
      <c r="B49" s="17"/>
      <c r="C49" s="17"/>
      <c r="D49" s="17"/>
      <c r="E49" s="17"/>
      <c r="F49" s="17"/>
      <c r="G49" s="17"/>
      <c r="H49" s="17"/>
      <c r="I49" s="17"/>
      <c r="J49" s="17"/>
      <c r="K49" s="17"/>
      <c r="L49" s="17"/>
      <c r="M49" s="17"/>
      <c r="N49" s="17"/>
      <c r="O49" s="17"/>
      <c r="P49" s="17"/>
      <c r="Q49" s="17"/>
      <c r="R49" s="17"/>
      <c r="S49" s="17"/>
      <c r="T49" s="17"/>
      <c r="U49" s="17"/>
      <c r="V49" s="68"/>
    </row>
    <row r="50" spans="2:22" s="68" customFormat="1" ht="14.5" customHeight="1" x14ac:dyDescent="0.2">
      <c r="B50" s="224" t="s">
        <v>525</v>
      </c>
      <c r="C50" s="225"/>
      <c r="D50" s="225"/>
      <c r="E50" s="225"/>
      <c r="F50" s="225"/>
      <c r="G50" s="225"/>
      <c r="H50" s="225"/>
      <c r="I50" s="225"/>
      <c r="J50" s="225"/>
      <c r="K50" s="225"/>
      <c r="L50" s="225"/>
      <c r="M50" s="225"/>
      <c r="N50" s="225"/>
      <c r="O50" s="225"/>
      <c r="P50" s="225"/>
      <c r="Q50" s="225"/>
      <c r="R50" s="225"/>
      <c r="S50" s="225"/>
      <c r="T50" s="225"/>
      <c r="U50" s="225"/>
    </row>
    <row r="51" spans="2:22" s="68" customFormat="1" x14ac:dyDescent="0.2">
      <c r="B51" s="17"/>
      <c r="C51" s="17"/>
      <c r="D51" s="17"/>
      <c r="E51" s="17"/>
      <c r="F51" s="17"/>
      <c r="G51" s="17"/>
      <c r="H51" s="17"/>
      <c r="I51" s="17"/>
      <c r="J51" s="17"/>
      <c r="K51" s="17"/>
      <c r="L51" s="17"/>
      <c r="M51" s="17"/>
      <c r="N51" s="17"/>
      <c r="O51" s="17"/>
      <c r="P51" s="17"/>
      <c r="Q51" s="17"/>
      <c r="R51" s="17"/>
      <c r="S51" s="17"/>
      <c r="T51" s="17"/>
      <c r="U51" s="17"/>
    </row>
    <row r="52" spans="2:22" ht="16" x14ac:dyDescent="0.2">
      <c r="B52" s="9" t="s">
        <v>476</v>
      </c>
      <c r="C52" s="214" t="s">
        <v>526</v>
      </c>
      <c r="D52" s="215"/>
      <c r="E52" s="215"/>
      <c r="F52" s="216"/>
      <c r="G52" s="214" t="s">
        <v>527</v>
      </c>
      <c r="H52" s="215"/>
      <c r="I52" s="215"/>
      <c r="J52" s="216"/>
      <c r="K52" s="214" t="s">
        <v>528</v>
      </c>
      <c r="L52" s="215"/>
      <c r="M52" s="215"/>
      <c r="N52" s="216"/>
      <c r="O52" s="214" t="s">
        <v>529</v>
      </c>
      <c r="P52" s="215"/>
      <c r="Q52" s="215"/>
      <c r="R52" s="216"/>
      <c r="S52" s="214" t="s">
        <v>530</v>
      </c>
      <c r="T52" s="215"/>
      <c r="U52" s="215"/>
      <c r="V52" s="215"/>
    </row>
    <row r="53" spans="2:22" ht="16" x14ac:dyDescent="0.2">
      <c r="B53" s="16" t="s">
        <v>531</v>
      </c>
      <c r="C53" s="16" t="s">
        <v>532</v>
      </c>
      <c r="D53" s="16" t="s">
        <v>533</v>
      </c>
      <c r="E53" s="16" t="s">
        <v>534</v>
      </c>
      <c r="F53" s="16" t="s">
        <v>535</v>
      </c>
      <c r="G53" s="16" t="s">
        <v>532</v>
      </c>
      <c r="H53" s="16" t="s">
        <v>533</v>
      </c>
      <c r="I53" s="16" t="s">
        <v>534</v>
      </c>
      <c r="J53" s="16" t="s">
        <v>535</v>
      </c>
      <c r="K53" s="16" t="s">
        <v>532</v>
      </c>
      <c r="L53" s="16" t="s">
        <v>533</v>
      </c>
      <c r="M53" s="16" t="s">
        <v>534</v>
      </c>
      <c r="N53" s="16" t="s">
        <v>535</v>
      </c>
      <c r="O53" s="16" t="s">
        <v>532</v>
      </c>
      <c r="P53" s="16" t="s">
        <v>533</v>
      </c>
      <c r="Q53" s="16" t="s">
        <v>534</v>
      </c>
      <c r="R53" s="16" t="s">
        <v>535</v>
      </c>
      <c r="S53" s="16" t="s">
        <v>532</v>
      </c>
      <c r="T53" s="16" t="s">
        <v>533</v>
      </c>
      <c r="U53" s="16" t="s">
        <v>534</v>
      </c>
      <c r="V53" s="16" t="s">
        <v>535</v>
      </c>
    </row>
    <row r="54" spans="2:22" ht="16" x14ac:dyDescent="0.2">
      <c r="B54" s="5" t="s">
        <v>536</v>
      </c>
      <c r="C54" s="144">
        <v>2.2000000000000002</v>
      </c>
      <c r="D54" s="144">
        <v>7.8199999999999994</v>
      </c>
      <c r="E54" s="144">
        <v>21.78</v>
      </c>
      <c r="F54" s="144">
        <v>28.35</v>
      </c>
      <c r="G54" s="144">
        <v>31.53</v>
      </c>
      <c r="H54" s="144">
        <v>29.16</v>
      </c>
      <c r="I54" s="144">
        <v>28.369999999999997</v>
      </c>
      <c r="J54" s="144">
        <v>27.59</v>
      </c>
      <c r="K54" s="144">
        <v>25.73</v>
      </c>
      <c r="L54" s="144">
        <v>24.25</v>
      </c>
      <c r="M54" s="144">
        <v>23.400000000000002</v>
      </c>
      <c r="N54" s="144">
        <v>22.54</v>
      </c>
      <c r="O54" s="144">
        <v>21.64</v>
      </c>
      <c r="P54" s="144">
        <v>20.73</v>
      </c>
      <c r="Q54" s="144">
        <v>20.170000000000002</v>
      </c>
      <c r="R54" s="144">
        <v>19.760000000000002</v>
      </c>
      <c r="S54" s="144">
        <v>19.55</v>
      </c>
      <c r="T54" s="144">
        <v>19.060000000000002</v>
      </c>
      <c r="U54" s="144">
        <v>18.64</v>
      </c>
      <c r="V54" s="144">
        <v>18.560000000000002</v>
      </c>
    </row>
    <row r="55" spans="2:22" s="68" customFormat="1" ht="32" x14ac:dyDescent="0.2">
      <c r="B55" s="5" t="s">
        <v>537</v>
      </c>
      <c r="C55" s="144"/>
      <c r="D55" s="144">
        <v>2.4300000000000002</v>
      </c>
      <c r="E55" s="144">
        <v>3.32</v>
      </c>
      <c r="F55" s="144">
        <v>3.17</v>
      </c>
      <c r="G55" s="144">
        <v>1.53</v>
      </c>
      <c r="H55" s="144">
        <v>1.53</v>
      </c>
      <c r="I55" s="144">
        <v>1.53</v>
      </c>
      <c r="J55" s="144">
        <v>1.53</v>
      </c>
      <c r="K55" s="144">
        <v>1.45</v>
      </c>
      <c r="L55" s="144">
        <v>1.45</v>
      </c>
      <c r="M55" s="144">
        <v>1.45</v>
      </c>
      <c r="N55" s="144">
        <v>1.45</v>
      </c>
      <c r="O55" s="144">
        <v>1.38</v>
      </c>
      <c r="P55" s="144">
        <v>1.38</v>
      </c>
      <c r="Q55" s="144">
        <v>1.38</v>
      </c>
      <c r="R55" s="144">
        <v>1.38</v>
      </c>
      <c r="S55" s="144">
        <v>1.1499999999999999</v>
      </c>
      <c r="T55" s="144">
        <v>1.1499999999999999</v>
      </c>
      <c r="U55" s="144">
        <v>1.1499999999999999</v>
      </c>
      <c r="V55" s="144">
        <v>1.1499999999999999</v>
      </c>
    </row>
    <row r="56" spans="2:22" ht="14.5" customHeight="1" x14ac:dyDescent="0.2">
      <c r="B56" s="5" t="s">
        <v>538</v>
      </c>
      <c r="C56" s="309" t="s">
        <v>807</v>
      </c>
      <c r="D56" s="310"/>
      <c r="E56" s="310"/>
      <c r="F56" s="310"/>
      <c r="G56" s="310"/>
      <c r="H56" s="310"/>
      <c r="I56" s="310"/>
      <c r="J56" s="310"/>
      <c r="K56" s="310"/>
      <c r="L56" s="310"/>
      <c r="M56" s="310"/>
      <c r="N56" s="310"/>
      <c r="O56" s="310"/>
      <c r="P56" s="310"/>
      <c r="Q56" s="310"/>
      <c r="R56" s="310"/>
      <c r="S56" s="310"/>
      <c r="T56" s="310"/>
      <c r="U56" s="310"/>
      <c r="V56" s="311"/>
    </row>
    <row r="57" spans="2:22" ht="29.25" customHeight="1" x14ac:dyDescent="0.2">
      <c r="B57" s="5" t="s">
        <v>539</v>
      </c>
      <c r="C57" s="312">
        <v>0.48</v>
      </c>
      <c r="D57" s="312">
        <v>1.1299999999999999</v>
      </c>
      <c r="E57" s="312">
        <v>1.1299999999999999</v>
      </c>
      <c r="F57" s="312">
        <v>0.98</v>
      </c>
      <c r="G57" s="312">
        <v>0.48</v>
      </c>
      <c r="H57" s="312">
        <v>0.48</v>
      </c>
      <c r="I57" s="312">
        <v>0.48</v>
      </c>
      <c r="J57" s="312">
        <v>0.48</v>
      </c>
      <c r="K57" s="312">
        <v>0.48</v>
      </c>
      <c r="L57" s="312">
        <v>0.48</v>
      </c>
      <c r="M57" s="312">
        <v>0.48</v>
      </c>
      <c r="N57" s="312">
        <v>0.48</v>
      </c>
      <c r="O57" s="312">
        <v>0.48</v>
      </c>
      <c r="P57" s="312">
        <v>0.48</v>
      </c>
      <c r="Q57" s="312">
        <v>0.48</v>
      </c>
      <c r="R57" s="312">
        <v>0.48</v>
      </c>
      <c r="S57" s="312">
        <v>0.48</v>
      </c>
      <c r="T57" s="312">
        <v>0.48</v>
      </c>
      <c r="U57" s="312">
        <v>0.48</v>
      </c>
      <c r="V57" s="312">
        <v>0.38</v>
      </c>
    </row>
    <row r="58" spans="2:22" ht="12" customHeight="1" x14ac:dyDescent="0.2">
      <c r="B58" s="88"/>
      <c r="C58" s="25"/>
      <c r="D58" s="25"/>
      <c r="E58" s="25"/>
      <c r="F58" s="25"/>
      <c r="G58" s="25"/>
      <c r="H58" s="25"/>
      <c r="I58" s="25"/>
      <c r="J58" s="25"/>
      <c r="K58" s="25"/>
      <c r="L58" s="25"/>
      <c r="M58" s="25"/>
      <c r="N58" s="25"/>
      <c r="O58" s="25"/>
      <c r="P58" s="25"/>
      <c r="Q58" s="25"/>
      <c r="R58" s="25"/>
      <c r="S58" s="25"/>
      <c r="T58" s="25"/>
      <c r="U58" s="25"/>
      <c r="V58" s="25"/>
    </row>
    <row r="59" spans="2:22" x14ac:dyDescent="0.2">
      <c r="B59" s="88"/>
      <c r="C59" s="25"/>
      <c r="D59" s="25"/>
      <c r="E59" s="25"/>
      <c r="F59" s="25"/>
      <c r="G59" s="25"/>
      <c r="H59" s="25"/>
      <c r="I59" s="25"/>
      <c r="J59" s="25"/>
      <c r="K59" s="25"/>
      <c r="L59" s="25"/>
      <c r="M59" s="25"/>
      <c r="N59" s="25"/>
      <c r="O59" s="25"/>
      <c r="P59" s="25"/>
      <c r="Q59" s="25"/>
      <c r="R59" s="25"/>
      <c r="S59" s="25"/>
      <c r="T59" s="25"/>
      <c r="U59" s="25"/>
      <c r="V59" s="25"/>
    </row>
    <row r="60" spans="2:22" x14ac:dyDescent="0.2">
      <c r="B60" s="23"/>
      <c r="C60" s="17"/>
      <c r="D60" s="17"/>
      <c r="E60" s="17"/>
      <c r="F60" s="17"/>
      <c r="G60" s="17"/>
      <c r="H60" s="17"/>
      <c r="I60" s="17"/>
      <c r="J60" s="17"/>
      <c r="K60" s="17"/>
      <c r="L60" s="17"/>
      <c r="M60" s="17"/>
      <c r="N60" s="17"/>
      <c r="O60" s="17"/>
      <c r="P60" s="17"/>
      <c r="Q60" s="17"/>
      <c r="R60" s="17"/>
      <c r="S60" s="17"/>
      <c r="T60" s="17"/>
      <c r="U60" s="17"/>
      <c r="V60" s="68"/>
    </row>
    <row r="61" spans="2:22" ht="14.5" customHeight="1" x14ac:dyDescent="0.2">
      <c r="B61" s="175" t="s">
        <v>540</v>
      </c>
      <c r="C61" s="176"/>
      <c r="D61" s="176"/>
      <c r="E61" s="176"/>
      <c r="F61" s="176"/>
      <c r="G61" s="176"/>
      <c r="H61" s="176"/>
      <c r="I61" s="176"/>
      <c r="J61" s="176"/>
      <c r="K61" s="176"/>
      <c r="L61" s="176"/>
      <c r="M61" s="176"/>
      <c r="N61" s="176"/>
      <c r="O61" s="176"/>
      <c r="P61" s="176"/>
      <c r="Q61" s="176"/>
      <c r="R61" s="176"/>
      <c r="S61" s="176"/>
      <c r="T61" s="176"/>
      <c r="U61" s="176"/>
      <c r="V61" s="176"/>
    </row>
    <row r="62" spans="2:22" x14ac:dyDescent="0.2">
      <c r="B62" s="17"/>
      <c r="C62" s="17"/>
      <c r="D62" s="89"/>
      <c r="E62" s="17"/>
      <c r="F62" s="17"/>
      <c r="G62" s="89"/>
      <c r="H62" s="17"/>
      <c r="I62" s="17"/>
      <c r="J62" s="89"/>
      <c r="K62" s="17"/>
      <c r="L62" s="17"/>
      <c r="M62" s="89"/>
      <c r="N62" s="17"/>
      <c r="O62" s="17"/>
      <c r="P62" s="89"/>
      <c r="Q62" s="17"/>
      <c r="R62" s="17"/>
      <c r="S62" s="89"/>
      <c r="T62" s="17"/>
      <c r="U62" s="17"/>
      <c r="V62" s="69"/>
    </row>
    <row r="63" spans="2:22" ht="14.5" customHeight="1" x14ac:dyDescent="0.2">
      <c r="B63" s="199" t="s">
        <v>541</v>
      </c>
      <c r="C63" s="200"/>
      <c r="D63" s="200"/>
      <c r="E63" s="200"/>
      <c r="F63" s="200"/>
      <c r="G63" s="200"/>
      <c r="H63" s="200"/>
      <c r="I63" s="200"/>
      <c r="J63" s="200"/>
      <c r="K63" s="200"/>
      <c r="L63" s="200"/>
      <c r="M63" s="200"/>
      <c r="N63" s="200"/>
      <c r="O63" s="200"/>
      <c r="P63" s="200"/>
      <c r="Q63" s="200"/>
      <c r="R63" s="200"/>
      <c r="S63" s="200"/>
      <c r="T63" s="200"/>
      <c r="U63" s="200"/>
      <c r="V63" s="201"/>
    </row>
    <row r="64" spans="2:22" x14ac:dyDescent="0.2">
      <c r="B64" s="90"/>
      <c r="C64" s="90"/>
      <c r="D64" s="90"/>
      <c r="E64" s="90"/>
      <c r="F64" s="90"/>
      <c r="G64" s="90"/>
      <c r="H64" s="90"/>
      <c r="I64" s="90"/>
      <c r="J64" s="90"/>
      <c r="K64" s="90"/>
      <c r="L64" s="90"/>
      <c r="M64" s="90"/>
      <c r="N64" s="90"/>
      <c r="O64" s="90"/>
      <c r="P64" s="90"/>
      <c r="Q64" s="90"/>
      <c r="R64" s="90"/>
      <c r="S64" s="90"/>
      <c r="T64" s="90"/>
      <c r="U64" s="90"/>
      <c r="V64" s="68"/>
    </row>
    <row r="65" spans="1:23" x14ac:dyDescent="0.2">
      <c r="A65" s="68"/>
      <c r="B65" s="36" t="s">
        <v>542</v>
      </c>
      <c r="C65" s="214" t="s">
        <v>526</v>
      </c>
      <c r="D65" s="215"/>
      <c r="E65" s="215"/>
      <c r="F65" s="216"/>
      <c r="G65" s="214" t="s">
        <v>527</v>
      </c>
      <c r="H65" s="215"/>
      <c r="I65" s="215"/>
      <c r="J65" s="216"/>
      <c r="K65" s="214" t="s">
        <v>528</v>
      </c>
      <c r="L65" s="215"/>
      <c r="M65" s="215"/>
      <c r="N65" s="216"/>
      <c r="O65" s="214" t="s">
        <v>529</v>
      </c>
      <c r="P65" s="215"/>
      <c r="Q65" s="215"/>
      <c r="R65" s="216"/>
      <c r="S65" s="214" t="s">
        <v>530</v>
      </c>
      <c r="T65" s="215"/>
      <c r="U65" s="215"/>
      <c r="V65" s="215"/>
      <c r="W65" s="68"/>
    </row>
    <row r="66" spans="1:23" ht="16" x14ac:dyDescent="0.2">
      <c r="A66" s="68"/>
      <c r="B66" s="16" t="s">
        <v>543</v>
      </c>
      <c r="C66" s="16" t="s">
        <v>532</v>
      </c>
      <c r="D66" s="16" t="s">
        <v>533</v>
      </c>
      <c r="E66" s="16" t="s">
        <v>534</v>
      </c>
      <c r="F66" s="16" t="s">
        <v>535</v>
      </c>
      <c r="G66" s="16" t="s">
        <v>532</v>
      </c>
      <c r="H66" s="16" t="s">
        <v>533</v>
      </c>
      <c r="I66" s="16" t="s">
        <v>534</v>
      </c>
      <c r="J66" s="16" t="s">
        <v>535</v>
      </c>
      <c r="K66" s="16" t="s">
        <v>532</v>
      </c>
      <c r="L66" s="16" t="s">
        <v>533</v>
      </c>
      <c r="M66" s="16" t="s">
        <v>534</v>
      </c>
      <c r="N66" s="16" t="s">
        <v>535</v>
      </c>
      <c r="O66" s="16" t="s">
        <v>532</v>
      </c>
      <c r="P66" s="16" t="s">
        <v>533</v>
      </c>
      <c r="Q66" s="16" t="s">
        <v>534</v>
      </c>
      <c r="R66" s="16" t="s">
        <v>535</v>
      </c>
      <c r="S66" s="16" t="s">
        <v>532</v>
      </c>
      <c r="T66" s="16" t="s">
        <v>533</v>
      </c>
      <c r="U66" s="16" t="s">
        <v>534</v>
      </c>
      <c r="V66" s="16" t="s">
        <v>535</v>
      </c>
      <c r="W66" s="68"/>
    </row>
    <row r="67" spans="1:23" ht="16" x14ac:dyDescent="0.2">
      <c r="A67" s="68"/>
      <c r="B67" s="5" t="s">
        <v>544</v>
      </c>
      <c r="C67" s="145">
        <v>1408724</v>
      </c>
      <c r="D67" s="145">
        <v>4732578</v>
      </c>
      <c r="E67" s="145">
        <v>3424883</v>
      </c>
      <c r="F67" s="145">
        <v>3775551</v>
      </c>
      <c r="G67" s="145">
        <v>1769580</v>
      </c>
      <c r="H67" s="145"/>
      <c r="I67" s="68"/>
      <c r="J67" s="68"/>
      <c r="K67" s="68"/>
      <c r="L67" s="68"/>
      <c r="M67" s="68"/>
      <c r="N67" s="68"/>
      <c r="O67" s="68"/>
      <c r="P67" s="68"/>
      <c r="Q67" s="68"/>
      <c r="R67" s="68"/>
      <c r="S67" s="68"/>
      <c r="T67" s="68"/>
      <c r="U67" s="68"/>
      <c r="V67" s="68"/>
      <c r="W67" s="68"/>
    </row>
    <row r="68" spans="1:23" ht="16" x14ac:dyDescent="0.2">
      <c r="A68" s="68"/>
      <c r="B68" s="5" t="s">
        <v>413</v>
      </c>
      <c r="C68" s="145"/>
      <c r="D68" s="145">
        <v>650000</v>
      </c>
      <c r="E68" s="145">
        <v>650000</v>
      </c>
      <c r="F68" s="145">
        <v>500000</v>
      </c>
      <c r="G68" s="145"/>
      <c r="H68" s="145"/>
      <c r="I68" s="37"/>
      <c r="J68" s="37"/>
      <c r="K68" s="37"/>
      <c r="L68" s="37"/>
      <c r="M68" s="37"/>
      <c r="N68" s="37"/>
      <c r="O68" s="37"/>
      <c r="P68" s="37"/>
      <c r="Q68" s="37"/>
      <c r="R68" s="37"/>
      <c r="S68" s="37"/>
      <c r="T68" s="37"/>
      <c r="U68" s="37"/>
      <c r="V68" s="37"/>
      <c r="W68" s="68"/>
    </row>
    <row r="69" spans="1:23" ht="16" x14ac:dyDescent="0.2">
      <c r="A69" s="68"/>
      <c r="B69" s="5" t="s">
        <v>414</v>
      </c>
      <c r="C69" s="145">
        <f>500000/20</f>
        <v>25000</v>
      </c>
      <c r="D69" s="145">
        <f t="shared" ref="D69:V69" si="0">500000/20</f>
        <v>25000</v>
      </c>
      <c r="E69" s="145">
        <f t="shared" si="0"/>
        <v>25000</v>
      </c>
      <c r="F69" s="145">
        <f t="shared" si="0"/>
        <v>25000</v>
      </c>
      <c r="G69" s="145">
        <f t="shared" si="0"/>
        <v>25000</v>
      </c>
      <c r="H69" s="145">
        <f t="shared" si="0"/>
        <v>25000</v>
      </c>
      <c r="I69" s="145">
        <f t="shared" si="0"/>
        <v>25000</v>
      </c>
      <c r="J69" s="145">
        <f t="shared" si="0"/>
        <v>25000</v>
      </c>
      <c r="K69" s="145">
        <f t="shared" si="0"/>
        <v>25000</v>
      </c>
      <c r="L69" s="145">
        <f t="shared" si="0"/>
        <v>25000</v>
      </c>
      <c r="M69" s="145">
        <f t="shared" si="0"/>
        <v>25000</v>
      </c>
      <c r="N69" s="145">
        <f t="shared" si="0"/>
        <v>25000</v>
      </c>
      <c r="O69" s="145">
        <f t="shared" si="0"/>
        <v>25000</v>
      </c>
      <c r="P69" s="145">
        <f t="shared" si="0"/>
        <v>25000</v>
      </c>
      <c r="Q69" s="145">
        <f t="shared" si="0"/>
        <v>25000</v>
      </c>
      <c r="R69" s="145">
        <f t="shared" si="0"/>
        <v>25000</v>
      </c>
      <c r="S69" s="145">
        <f t="shared" si="0"/>
        <v>25000</v>
      </c>
      <c r="T69" s="145">
        <f t="shared" si="0"/>
        <v>25000</v>
      </c>
      <c r="U69" s="145">
        <f t="shared" si="0"/>
        <v>25000</v>
      </c>
      <c r="V69" s="145">
        <f t="shared" si="0"/>
        <v>25000</v>
      </c>
      <c r="W69" s="68"/>
    </row>
    <row r="70" spans="1:23" ht="17.25" customHeight="1" x14ac:dyDescent="0.2">
      <c r="A70" s="68"/>
      <c r="B70" s="5" t="s">
        <v>415</v>
      </c>
      <c r="C70" s="145">
        <f>750000/20</f>
        <v>37500</v>
      </c>
      <c r="D70" s="145">
        <f t="shared" ref="D70:V70" si="1">750000/20</f>
        <v>37500</v>
      </c>
      <c r="E70" s="145">
        <f t="shared" si="1"/>
        <v>37500</v>
      </c>
      <c r="F70" s="145">
        <f t="shared" si="1"/>
        <v>37500</v>
      </c>
      <c r="G70" s="145">
        <f t="shared" si="1"/>
        <v>37500</v>
      </c>
      <c r="H70" s="145">
        <f t="shared" si="1"/>
        <v>37500</v>
      </c>
      <c r="I70" s="145">
        <f t="shared" si="1"/>
        <v>37500</v>
      </c>
      <c r="J70" s="145">
        <f t="shared" si="1"/>
        <v>37500</v>
      </c>
      <c r="K70" s="145">
        <f t="shared" si="1"/>
        <v>37500</v>
      </c>
      <c r="L70" s="145">
        <f t="shared" si="1"/>
        <v>37500</v>
      </c>
      <c r="M70" s="145">
        <f t="shared" si="1"/>
        <v>37500</v>
      </c>
      <c r="N70" s="145">
        <f t="shared" si="1"/>
        <v>37500</v>
      </c>
      <c r="O70" s="145">
        <f t="shared" si="1"/>
        <v>37500</v>
      </c>
      <c r="P70" s="145">
        <f t="shared" si="1"/>
        <v>37500</v>
      </c>
      <c r="Q70" s="145">
        <f t="shared" si="1"/>
        <v>37500</v>
      </c>
      <c r="R70" s="145">
        <f t="shared" si="1"/>
        <v>37500</v>
      </c>
      <c r="S70" s="145">
        <f t="shared" si="1"/>
        <v>37500</v>
      </c>
      <c r="T70" s="145">
        <f t="shared" si="1"/>
        <v>37500</v>
      </c>
      <c r="U70" s="145">
        <f t="shared" si="1"/>
        <v>37500</v>
      </c>
      <c r="V70" s="145">
        <f t="shared" si="1"/>
        <v>37500</v>
      </c>
      <c r="W70" s="68"/>
    </row>
    <row r="71" spans="1:23" ht="32" x14ac:dyDescent="0.2">
      <c r="A71" s="68"/>
      <c r="B71" s="5" t="s">
        <v>416</v>
      </c>
      <c r="C71" s="145">
        <f>1500000/20</f>
        <v>75000</v>
      </c>
      <c r="D71" s="145">
        <f t="shared" ref="D71:V71" si="2">1500000/20</f>
        <v>75000</v>
      </c>
      <c r="E71" s="145">
        <f t="shared" si="2"/>
        <v>75000</v>
      </c>
      <c r="F71" s="145">
        <f t="shared" si="2"/>
        <v>75000</v>
      </c>
      <c r="G71" s="145">
        <f t="shared" si="2"/>
        <v>75000</v>
      </c>
      <c r="H71" s="145">
        <f t="shared" si="2"/>
        <v>75000</v>
      </c>
      <c r="I71" s="145">
        <f t="shared" si="2"/>
        <v>75000</v>
      </c>
      <c r="J71" s="145">
        <f t="shared" si="2"/>
        <v>75000</v>
      </c>
      <c r="K71" s="145">
        <f t="shared" si="2"/>
        <v>75000</v>
      </c>
      <c r="L71" s="145">
        <f t="shared" si="2"/>
        <v>75000</v>
      </c>
      <c r="M71" s="145">
        <f t="shared" si="2"/>
        <v>75000</v>
      </c>
      <c r="N71" s="145">
        <f t="shared" si="2"/>
        <v>75000</v>
      </c>
      <c r="O71" s="145">
        <f t="shared" si="2"/>
        <v>75000</v>
      </c>
      <c r="P71" s="145">
        <f t="shared" si="2"/>
        <v>75000</v>
      </c>
      <c r="Q71" s="145">
        <f t="shared" si="2"/>
        <v>75000</v>
      </c>
      <c r="R71" s="145">
        <f t="shared" si="2"/>
        <v>75000</v>
      </c>
      <c r="S71" s="145">
        <f t="shared" si="2"/>
        <v>75000</v>
      </c>
      <c r="T71" s="145">
        <f t="shared" si="2"/>
        <v>75000</v>
      </c>
      <c r="U71" s="145">
        <f t="shared" si="2"/>
        <v>75000</v>
      </c>
      <c r="V71" s="145">
        <f t="shared" si="2"/>
        <v>75000</v>
      </c>
      <c r="W71" s="68"/>
    </row>
    <row r="72" spans="1:23" ht="16" x14ac:dyDescent="0.2">
      <c r="A72" s="68"/>
      <c r="B72" s="5" t="s">
        <v>417</v>
      </c>
      <c r="C72" s="145">
        <f>6000000/20</f>
        <v>300000</v>
      </c>
      <c r="D72" s="145">
        <f t="shared" ref="D72:V72" si="3">6000000/20</f>
        <v>300000</v>
      </c>
      <c r="E72" s="145">
        <f t="shared" si="3"/>
        <v>300000</v>
      </c>
      <c r="F72" s="145">
        <f t="shared" si="3"/>
        <v>300000</v>
      </c>
      <c r="G72" s="145">
        <f t="shared" si="3"/>
        <v>300000</v>
      </c>
      <c r="H72" s="145">
        <f t="shared" si="3"/>
        <v>300000</v>
      </c>
      <c r="I72" s="145">
        <f t="shared" si="3"/>
        <v>300000</v>
      </c>
      <c r="J72" s="145">
        <f t="shared" si="3"/>
        <v>300000</v>
      </c>
      <c r="K72" s="145">
        <f t="shared" si="3"/>
        <v>300000</v>
      </c>
      <c r="L72" s="145">
        <f t="shared" si="3"/>
        <v>300000</v>
      </c>
      <c r="M72" s="145">
        <f t="shared" si="3"/>
        <v>300000</v>
      </c>
      <c r="N72" s="145">
        <f t="shared" si="3"/>
        <v>300000</v>
      </c>
      <c r="O72" s="145">
        <f t="shared" si="3"/>
        <v>300000</v>
      </c>
      <c r="P72" s="145">
        <f t="shared" si="3"/>
        <v>300000</v>
      </c>
      <c r="Q72" s="145">
        <f t="shared" si="3"/>
        <v>300000</v>
      </c>
      <c r="R72" s="145">
        <f t="shared" si="3"/>
        <v>300000</v>
      </c>
      <c r="S72" s="145">
        <f t="shared" si="3"/>
        <v>300000</v>
      </c>
      <c r="T72" s="145">
        <f t="shared" si="3"/>
        <v>300000</v>
      </c>
      <c r="U72" s="145">
        <f t="shared" si="3"/>
        <v>300000</v>
      </c>
      <c r="V72" s="145">
        <f t="shared" si="3"/>
        <v>300000</v>
      </c>
      <c r="W72" s="68"/>
    </row>
    <row r="73" spans="1:23" ht="16" x14ac:dyDescent="0.2">
      <c r="A73" s="68"/>
      <c r="B73" s="5" t="s">
        <v>418</v>
      </c>
      <c r="C73" s="145">
        <f>750000/20</f>
        <v>37500</v>
      </c>
      <c r="D73" s="145">
        <f t="shared" ref="D73:V73" si="4">750000/20</f>
        <v>37500</v>
      </c>
      <c r="E73" s="145">
        <f t="shared" si="4"/>
        <v>37500</v>
      </c>
      <c r="F73" s="145">
        <f t="shared" si="4"/>
        <v>37500</v>
      </c>
      <c r="G73" s="145">
        <f t="shared" si="4"/>
        <v>37500</v>
      </c>
      <c r="H73" s="145">
        <f t="shared" si="4"/>
        <v>37500</v>
      </c>
      <c r="I73" s="145">
        <f t="shared" si="4"/>
        <v>37500</v>
      </c>
      <c r="J73" s="145">
        <f t="shared" si="4"/>
        <v>37500</v>
      </c>
      <c r="K73" s="145">
        <f t="shared" si="4"/>
        <v>37500</v>
      </c>
      <c r="L73" s="145">
        <f t="shared" si="4"/>
        <v>37500</v>
      </c>
      <c r="M73" s="145">
        <f t="shared" si="4"/>
        <v>37500</v>
      </c>
      <c r="N73" s="145">
        <f t="shared" si="4"/>
        <v>37500</v>
      </c>
      <c r="O73" s="145">
        <f t="shared" si="4"/>
        <v>37500</v>
      </c>
      <c r="P73" s="145">
        <f t="shared" si="4"/>
        <v>37500</v>
      </c>
      <c r="Q73" s="145">
        <f t="shared" si="4"/>
        <v>37500</v>
      </c>
      <c r="R73" s="145">
        <f t="shared" si="4"/>
        <v>37500</v>
      </c>
      <c r="S73" s="145">
        <f t="shared" si="4"/>
        <v>37500</v>
      </c>
      <c r="T73" s="145">
        <f t="shared" si="4"/>
        <v>37500</v>
      </c>
      <c r="U73" s="145">
        <f t="shared" si="4"/>
        <v>37500</v>
      </c>
      <c r="V73" s="145">
        <f t="shared" si="4"/>
        <v>37500</v>
      </c>
      <c r="W73" s="68"/>
    </row>
    <row r="74" spans="1:23" x14ac:dyDescent="0.2">
      <c r="A74" s="68"/>
      <c r="B74" s="5"/>
      <c r="C74" s="37"/>
      <c r="D74" s="37"/>
      <c r="E74" s="37"/>
      <c r="F74" s="37"/>
      <c r="G74" s="37"/>
      <c r="H74" s="37"/>
      <c r="I74" s="37"/>
      <c r="J74" s="37"/>
      <c r="K74" s="37"/>
      <c r="L74" s="37"/>
      <c r="M74" s="37"/>
      <c r="N74" s="37"/>
      <c r="O74" s="37"/>
      <c r="P74" s="37"/>
      <c r="Q74" s="37"/>
      <c r="R74" s="37"/>
      <c r="S74" s="37"/>
      <c r="T74" s="37"/>
      <c r="U74" s="37"/>
      <c r="V74" s="37"/>
      <c r="W74" s="68"/>
    </row>
    <row r="75" spans="1:23" s="68" customFormat="1" x14ac:dyDescent="0.2">
      <c r="B75" s="75"/>
      <c r="C75" s="75"/>
      <c r="D75" s="75"/>
      <c r="E75" s="75"/>
      <c r="F75" s="75"/>
      <c r="G75" s="75"/>
      <c r="H75" s="75"/>
      <c r="I75" s="75"/>
      <c r="J75" s="75"/>
      <c r="K75" s="75"/>
      <c r="L75" s="75"/>
      <c r="M75" s="75"/>
      <c r="N75" s="75"/>
      <c r="O75" s="75"/>
      <c r="P75" s="75"/>
      <c r="Q75" s="75"/>
      <c r="R75" s="75"/>
      <c r="S75" s="75"/>
      <c r="T75" s="75"/>
      <c r="U75" s="75"/>
      <c r="V75" s="75"/>
    </row>
    <row r="76" spans="1:23" s="68" customFormat="1" x14ac:dyDescent="0.2">
      <c r="B76" s="175" t="s">
        <v>545</v>
      </c>
      <c r="C76" s="176"/>
      <c r="D76" s="176"/>
      <c r="E76" s="176"/>
      <c r="F76" s="176"/>
      <c r="G76" s="176"/>
      <c r="H76" s="176"/>
      <c r="I76" s="176"/>
      <c r="J76" s="176"/>
      <c r="K76" s="176"/>
      <c r="L76" s="176"/>
      <c r="M76" s="176"/>
      <c r="N76" s="176"/>
      <c r="O76" s="176"/>
      <c r="P76" s="176"/>
      <c r="Q76" s="176"/>
      <c r="R76" s="176"/>
      <c r="S76" s="176"/>
      <c r="T76" s="176"/>
      <c r="U76" s="176"/>
      <c r="V76" s="176"/>
    </row>
    <row r="77" spans="1:23" s="68" customFormat="1" x14ac:dyDescent="0.2">
      <c r="B77" s="82"/>
      <c r="C77" s="82"/>
      <c r="D77" s="91"/>
      <c r="E77" s="82"/>
      <c r="F77" s="82"/>
      <c r="G77" s="91"/>
      <c r="H77" s="82"/>
      <c r="I77" s="82"/>
      <c r="J77" s="91"/>
      <c r="K77" s="82"/>
      <c r="L77" s="82"/>
      <c r="M77" s="91"/>
      <c r="N77" s="82"/>
      <c r="O77" s="82"/>
      <c r="P77" s="91"/>
      <c r="Q77" s="82"/>
      <c r="R77" s="82"/>
      <c r="S77" s="91"/>
      <c r="T77" s="82"/>
      <c r="U77" s="82"/>
      <c r="V77" s="86"/>
    </row>
    <row r="78" spans="1:23" s="68" customFormat="1" ht="14.5" customHeight="1" x14ac:dyDescent="0.2">
      <c r="B78" s="199" t="s">
        <v>546</v>
      </c>
      <c r="C78" s="200"/>
      <c r="D78" s="200"/>
      <c r="E78" s="200"/>
      <c r="F78" s="200"/>
      <c r="G78" s="200"/>
      <c r="H78" s="200"/>
      <c r="I78" s="200"/>
      <c r="J78" s="200"/>
      <c r="K78" s="200"/>
      <c r="L78" s="200"/>
      <c r="M78" s="200"/>
      <c r="N78" s="200"/>
      <c r="O78" s="200"/>
      <c r="P78" s="200"/>
      <c r="Q78" s="200"/>
      <c r="R78" s="200"/>
      <c r="S78" s="200"/>
      <c r="T78" s="200"/>
      <c r="U78" s="200"/>
      <c r="V78" s="201"/>
    </row>
    <row r="79" spans="1:23" x14ac:dyDescent="0.2">
      <c r="A79" s="68"/>
      <c r="B79" s="70"/>
      <c r="C79" s="71"/>
      <c r="D79" s="71"/>
      <c r="E79" s="68"/>
      <c r="F79" s="68"/>
      <c r="G79" s="68"/>
      <c r="H79" s="68"/>
      <c r="I79" s="68"/>
      <c r="J79" s="68"/>
      <c r="K79" s="68"/>
      <c r="L79" s="68"/>
      <c r="M79" s="68"/>
      <c r="N79" s="68"/>
      <c r="O79" s="68"/>
      <c r="P79" s="68"/>
      <c r="Q79" s="68"/>
      <c r="R79" s="68"/>
      <c r="S79" s="68"/>
      <c r="T79" s="68"/>
      <c r="U79" s="68"/>
      <c r="V79" s="68"/>
      <c r="W79" s="68"/>
    </row>
    <row r="80" spans="1:23" ht="32" x14ac:dyDescent="0.2">
      <c r="A80" s="68"/>
      <c r="B80" s="80" t="s">
        <v>547</v>
      </c>
      <c r="C80" s="9" t="s">
        <v>548</v>
      </c>
      <c r="D80" s="9" t="s">
        <v>549</v>
      </c>
      <c r="E80" s="68"/>
      <c r="F80" s="68"/>
      <c r="G80" s="68"/>
      <c r="H80" s="68"/>
      <c r="I80" s="68"/>
      <c r="J80" s="68"/>
      <c r="K80" s="68"/>
      <c r="L80" s="68"/>
      <c r="M80" s="68"/>
      <c r="N80" s="68"/>
      <c r="O80" s="68"/>
      <c r="P80" s="68"/>
      <c r="Q80" s="68"/>
      <c r="R80" s="68"/>
      <c r="S80" s="68"/>
      <c r="T80" s="68"/>
      <c r="U80" s="68"/>
      <c r="V80" s="68"/>
      <c r="W80" s="68"/>
    </row>
    <row r="81" spans="1:23" ht="115.5" customHeight="1" x14ac:dyDescent="0.2">
      <c r="A81" s="68"/>
      <c r="B81" s="5" t="s">
        <v>550</v>
      </c>
      <c r="C81" s="5" t="s">
        <v>149</v>
      </c>
      <c r="D81" s="217" t="s">
        <v>808</v>
      </c>
      <c r="E81" s="68"/>
      <c r="F81" s="68"/>
      <c r="G81" s="68"/>
      <c r="H81" s="68"/>
      <c r="I81" s="68"/>
      <c r="J81" s="68"/>
      <c r="K81" s="68"/>
      <c r="L81" s="68"/>
      <c r="M81" s="68"/>
      <c r="N81" s="68"/>
      <c r="O81" s="68"/>
      <c r="P81" s="68"/>
      <c r="Q81" s="68"/>
      <c r="R81" s="68"/>
      <c r="S81" s="68"/>
      <c r="T81" s="68"/>
      <c r="U81" s="68"/>
      <c r="V81" s="68"/>
      <c r="W81" s="68"/>
    </row>
    <row r="82" spans="1:23" ht="32" x14ac:dyDescent="0.2">
      <c r="A82" s="68"/>
      <c r="B82" s="5" t="s">
        <v>551</v>
      </c>
      <c r="C82" s="5" t="s">
        <v>149</v>
      </c>
      <c r="D82" s="218"/>
      <c r="E82" s="68"/>
      <c r="F82" s="68"/>
      <c r="G82" s="68"/>
      <c r="H82" s="68"/>
      <c r="I82" s="68"/>
      <c r="J82" s="68"/>
      <c r="K82" s="68"/>
      <c r="L82" s="68"/>
      <c r="M82" s="68"/>
      <c r="N82" s="68"/>
      <c r="O82" s="68"/>
      <c r="P82" s="68"/>
      <c r="Q82" s="68"/>
      <c r="R82" s="68"/>
      <c r="S82" s="68"/>
      <c r="T82" s="68"/>
      <c r="U82" s="68"/>
      <c r="V82" s="68"/>
      <c r="W82" s="68"/>
    </row>
    <row r="83" spans="1:23" ht="32" x14ac:dyDescent="0.2">
      <c r="A83" s="68"/>
      <c r="B83" s="5" t="s">
        <v>552</v>
      </c>
      <c r="C83" s="5" t="s">
        <v>149</v>
      </c>
      <c r="D83" s="218"/>
      <c r="E83" s="68"/>
      <c r="F83" s="68"/>
      <c r="G83" s="68"/>
      <c r="H83" s="68"/>
      <c r="I83" s="68"/>
      <c r="J83" s="68"/>
      <c r="K83" s="68"/>
      <c r="L83" s="68"/>
      <c r="M83" s="68"/>
      <c r="N83" s="68"/>
      <c r="O83" s="68"/>
      <c r="P83" s="68"/>
      <c r="Q83" s="68"/>
      <c r="R83" s="68"/>
      <c r="S83" s="68"/>
      <c r="T83" s="68"/>
      <c r="U83" s="68"/>
      <c r="V83" s="68"/>
      <c r="W83" s="68"/>
    </row>
    <row r="84" spans="1:23" ht="32" x14ac:dyDescent="0.2">
      <c r="A84" s="68"/>
      <c r="B84" s="5" t="s">
        <v>553</v>
      </c>
      <c r="C84" s="5" t="s">
        <v>149</v>
      </c>
      <c r="D84" s="218"/>
      <c r="E84" s="68"/>
      <c r="F84" s="68"/>
      <c r="G84" s="68"/>
      <c r="H84" s="68"/>
      <c r="I84" s="68"/>
      <c r="J84" s="68"/>
      <c r="K84" s="68"/>
      <c r="L84" s="68"/>
      <c r="M84" s="68"/>
      <c r="N84" s="68"/>
      <c r="O84" s="68"/>
      <c r="P84" s="68"/>
      <c r="Q84" s="68"/>
      <c r="R84" s="68"/>
      <c r="S84" s="68"/>
      <c r="T84" s="68"/>
      <c r="U84" s="68"/>
      <c r="V84" s="68"/>
      <c r="W84" s="68"/>
    </row>
    <row r="85" spans="1:23" ht="29.25" customHeight="1" x14ac:dyDescent="0.2">
      <c r="A85" s="68"/>
      <c r="B85" s="5" t="s">
        <v>554</v>
      </c>
      <c r="C85" s="5" t="s">
        <v>149</v>
      </c>
      <c r="D85" s="219"/>
      <c r="E85" s="68"/>
      <c r="F85" s="68"/>
      <c r="G85" s="68"/>
      <c r="H85" s="68"/>
      <c r="I85" s="68"/>
      <c r="J85" s="68"/>
      <c r="K85" s="68"/>
      <c r="L85" s="68"/>
      <c r="M85" s="68"/>
      <c r="N85" s="68"/>
      <c r="O85" s="68"/>
      <c r="P85" s="68"/>
      <c r="Q85" s="68"/>
      <c r="R85" s="68"/>
      <c r="S85" s="68"/>
      <c r="T85" s="68"/>
      <c r="U85" s="68"/>
      <c r="V85" s="68"/>
      <c r="W85" s="68"/>
    </row>
    <row r="86" spans="1:23" x14ac:dyDescent="0.2">
      <c r="A86" s="68"/>
      <c r="B86" s="88"/>
      <c r="C86" s="25"/>
      <c r="D86" s="25"/>
      <c r="E86" s="68"/>
      <c r="F86" s="68"/>
      <c r="G86" s="68"/>
      <c r="H86" s="68"/>
      <c r="I86" s="68"/>
      <c r="J86" s="68"/>
      <c r="K86" s="68"/>
      <c r="L86" s="68"/>
      <c r="M86" s="68"/>
      <c r="N86" s="68"/>
      <c r="O86" s="68"/>
      <c r="P86" s="68"/>
      <c r="Q86" s="68"/>
      <c r="R86" s="68"/>
      <c r="S86" s="68"/>
      <c r="T86" s="68"/>
      <c r="U86" s="68"/>
      <c r="V86" s="68"/>
      <c r="W86" s="68"/>
    </row>
    <row r="87" spans="1:23" x14ac:dyDescent="0.2">
      <c r="A87" s="68"/>
      <c r="B87" s="88"/>
      <c r="C87" s="25"/>
      <c r="D87" s="25"/>
      <c r="E87" s="68"/>
      <c r="F87" s="68"/>
      <c r="G87" s="68"/>
      <c r="H87" s="68"/>
      <c r="I87" s="68"/>
      <c r="J87" s="68"/>
      <c r="K87" s="68"/>
      <c r="L87" s="68"/>
      <c r="M87" s="68"/>
      <c r="N87" s="68"/>
      <c r="O87" s="68"/>
      <c r="P87" s="68"/>
      <c r="Q87" s="68"/>
      <c r="R87" s="68"/>
      <c r="S87" s="68"/>
      <c r="T87" s="68"/>
      <c r="U87" s="68"/>
      <c r="V87" s="68"/>
      <c r="W87" s="68"/>
    </row>
    <row r="89" spans="1:23" x14ac:dyDescent="0.2">
      <c r="A89" s="68"/>
      <c r="B89" s="235" t="s">
        <v>555</v>
      </c>
      <c r="C89" s="236"/>
      <c r="D89" s="236"/>
      <c r="E89" s="236"/>
      <c r="F89" s="236"/>
      <c r="G89" s="236"/>
      <c r="H89" s="236"/>
      <c r="I89" s="236"/>
      <c r="J89" s="236"/>
      <c r="K89" s="236"/>
      <c r="L89" s="236"/>
      <c r="M89" s="236"/>
      <c r="N89" s="236"/>
      <c r="O89" s="236"/>
      <c r="P89" s="236"/>
      <c r="Q89" s="236"/>
      <c r="R89" s="236"/>
      <c r="S89" s="236"/>
      <c r="T89" s="236"/>
      <c r="U89" s="237"/>
      <c r="V89" s="68"/>
      <c r="W89" s="68"/>
    </row>
    <row r="90" spans="1:23" x14ac:dyDescent="0.2">
      <c r="A90" s="68"/>
      <c r="B90" s="92"/>
      <c r="C90" s="90"/>
      <c r="D90" s="17"/>
      <c r="E90" s="17"/>
      <c r="F90" s="17"/>
      <c r="G90" s="17"/>
      <c r="H90" s="17"/>
      <c r="I90" s="17"/>
      <c r="J90" s="17"/>
      <c r="K90" s="17"/>
      <c r="L90" s="17"/>
      <c r="M90" s="17"/>
      <c r="N90" s="17"/>
      <c r="O90" s="17"/>
      <c r="P90" s="17"/>
      <c r="Q90" s="17"/>
      <c r="R90" s="17"/>
      <c r="S90" s="17"/>
      <c r="T90" s="17"/>
      <c r="U90" s="17"/>
      <c r="V90" s="68"/>
      <c r="W90" s="68"/>
    </row>
    <row r="91" spans="1:23" ht="31" customHeight="1" x14ac:dyDescent="0.2">
      <c r="A91" s="68"/>
      <c r="B91" s="238" t="s">
        <v>556</v>
      </c>
      <c r="C91" s="238"/>
      <c r="D91" s="238"/>
      <c r="E91" s="238"/>
      <c r="F91" s="238"/>
      <c r="G91" s="238"/>
      <c r="H91" s="238"/>
      <c r="I91" s="238"/>
      <c r="J91" s="238"/>
      <c r="K91" s="238"/>
      <c r="L91" s="238"/>
      <c r="M91" s="238"/>
      <c r="N91" s="238"/>
      <c r="O91" s="238"/>
      <c r="P91" s="238"/>
      <c r="Q91" s="238"/>
      <c r="R91" s="238"/>
      <c r="S91" s="238"/>
      <c r="T91" s="238"/>
      <c r="U91" s="155"/>
      <c r="V91" s="68"/>
      <c r="W91" s="68"/>
    </row>
    <row r="92" spans="1:23" ht="16" x14ac:dyDescent="0.2">
      <c r="A92" s="68"/>
      <c r="B92" s="16" t="s">
        <v>3</v>
      </c>
      <c r="C92" s="241" t="s">
        <v>557</v>
      </c>
      <c r="D92" s="242"/>
      <c r="E92" s="242"/>
      <c r="F92" s="242"/>
      <c r="G92" s="242"/>
      <c r="H92" s="242"/>
      <c r="I92" s="242"/>
      <c r="J92" s="242"/>
      <c r="K92" s="242"/>
      <c r="L92" s="242"/>
      <c r="M92" s="242"/>
      <c r="N92" s="242"/>
      <c r="O92" s="242"/>
      <c r="P92" s="242"/>
      <c r="Q92" s="242"/>
      <c r="R92" s="242"/>
      <c r="S92" s="242"/>
      <c r="T92" s="242"/>
      <c r="U92" s="243"/>
      <c r="V92" s="68"/>
      <c r="W92" s="68"/>
    </row>
    <row r="93" spans="1:23" ht="16" x14ac:dyDescent="0.2">
      <c r="A93" s="68"/>
      <c r="B93" s="22"/>
      <c r="C93" s="142" t="s">
        <v>809</v>
      </c>
      <c r="D93" s="31"/>
      <c r="E93" s="31"/>
      <c r="F93" s="31"/>
      <c r="G93" s="31"/>
      <c r="H93" s="31"/>
      <c r="I93" s="31"/>
      <c r="J93" s="31"/>
      <c r="K93" s="31"/>
      <c r="L93" s="31"/>
      <c r="M93" s="31"/>
      <c r="N93" s="31"/>
      <c r="O93" s="31"/>
      <c r="P93" s="31"/>
      <c r="Q93" s="31"/>
      <c r="R93" s="31"/>
      <c r="S93" s="31"/>
      <c r="T93" s="31"/>
      <c r="U93" s="116"/>
      <c r="V93" s="68"/>
      <c r="W93" s="68"/>
    </row>
    <row r="94" spans="1:23" s="68" customFormat="1" ht="16" x14ac:dyDescent="0.2">
      <c r="B94" s="22" t="s">
        <v>79</v>
      </c>
      <c r="C94" s="127" t="s">
        <v>558</v>
      </c>
      <c r="D94" s="31"/>
      <c r="E94" s="31"/>
      <c r="F94" s="31"/>
      <c r="G94" s="31"/>
      <c r="H94" s="31"/>
      <c r="I94" s="31"/>
      <c r="J94" s="31"/>
      <c r="K94" s="31"/>
      <c r="L94" s="31"/>
      <c r="M94" s="31"/>
      <c r="N94" s="31"/>
      <c r="O94" s="31"/>
      <c r="P94" s="31"/>
      <c r="Q94" s="31"/>
      <c r="R94" s="31"/>
      <c r="S94" s="31"/>
      <c r="T94" s="31"/>
      <c r="U94" s="116"/>
    </row>
    <row r="95" spans="1:23" ht="16" x14ac:dyDescent="0.2">
      <c r="A95" s="68"/>
      <c r="B95" s="22" t="s">
        <v>87</v>
      </c>
      <c r="C95" s="127" t="s">
        <v>559</v>
      </c>
      <c r="D95" s="31"/>
      <c r="E95" s="31"/>
      <c r="F95" s="31"/>
      <c r="G95" s="31"/>
      <c r="H95" s="31"/>
      <c r="I95" s="31"/>
      <c r="J95" s="31"/>
      <c r="K95" s="31"/>
      <c r="L95" s="31"/>
      <c r="M95" s="31"/>
      <c r="N95" s="31"/>
      <c r="O95" s="31"/>
      <c r="P95" s="31"/>
      <c r="Q95" s="31"/>
      <c r="R95" s="31"/>
      <c r="S95" s="31"/>
      <c r="T95" s="31"/>
      <c r="U95" s="116"/>
      <c r="V95" s="68"/>
      <c r="W95" s="68"/>
    </row>
    <row r="96" spans="1:23" ht="16" x14ac:dyDescent="0.2">
      <c r="A96" s="68"/>
      <c r="B96" s="22" t="s">
        <v>95</v>
      </c>
      <c r="C96" s="127" t="s">
        <v>560</v>
      </c>
      <c r="D96" s="31"/>
      <c r="E96" s="31"/>
      <c r="F96" s="31"/>
      <c r="G96" s="31"/>
      <c r="H96" s="31"/>
      <c r="I96" s="31"/>
      <c r="J96" s="31"/>
      <c r="K96" s="31"/>
      <c r="L96" s="31"/>
      <c r="M96" s="31"/>
      <c r="N96" s="31"/>
      <c r="O96" s="31"/>
      <c r="P96" s="31"/>
      <c r="Q96" s="31"/>
      <c r="R96" s="31"/>
      <c r="S96" s="31"/>
      <c r="T96" s="31"/>
      <c r="U96" s="116"/>
      <c r="V96" s="68"/>
      <c r="W96" s="68"/>
    </row>
    <row r="97" spans="1:23" ht="16" x14ac:dyDescent="0.2">
      <c r="A97" s="68"/>
      <c r="B97" s="22" t="s">
        <v>561</v>
      </c>
      <c r="C97" s="127" t="s">
        <v>562</v>
      </c>
      <c r="D97" s="31"/>
      <c r="E97" s="31"/>
      <c r="F97" s="31"/>
      <c r="G97" s="31"/>
      <c r="H97" s="31"/>
      <c r="I97" s="31"/>
      <c r="J97" s="31"/>
      <c r="K97" s="31"/>
      <c r="L97" s="31"/>
      <c r="M97" s="31"/>
      <c r="N97" s="31"/>
      <c r="O97" s="31"/>
      <c r="P97" s="31"/>
      <c r="Q97" s="31"/>
      <c r="R97" s="31"/>
      <c r="S97" s="31"/>
      <c r="T97" s="31"/>
      <c r="U97" s="116"/>
      <c r="V97" s="68"/>
      <c r="W97" s="68"/>
    </row>
    <row r="98" spans="1:23" s="68" customFormat="1" ht="16" x14ac:dyDescent="0.2">
      <c r="B98" s="22" t="s">
        <v>563</v>
      </c>
      <c r="C98" s="127" t="s">
        <v>564</v>
      </c>
      <c r="D98" s="31"/>
      <c r="E98" s="31"/>
      <c r="F98" s="31"/>
      <c r="G98" s="31"/>
      <c r="H98" s="31"/>
      <c r="I98" s="31"/>
      <c r="J98" s="31"/>
      <c r="K98" s="31"/>
      <c r="L98" s="31"/>
      <c r="M98" s="31"/>
      <c r="N98" s="31"/>
      <c r="O98" s="31"/>
      <c r="P98" s="31"/>
      <c r="Q98" s="31"/>
      <c r="R98" s="31"/>
      <c r="S98" s="31"/>
      <c r="T98" s="31"/>
      <c r="U98" s="116"/>
    </row>
    <row r="99" spans="1:23" s="68" customFormat="1" ht="16" x14ac:dyDescent="0.2">
      <c r="B99" s="22" t="s">
        <v>565</v>
      </c>
      <c r="C99" s="127" t="s">
        <v>566</v>
      </c>
      <c r="D99" s="31"/>
      <c r="E99" s="31"/>
      <c r="F99" s="31"/>
      <c r="G99" s="31"/>
      <c r="H99" s="31"/>
      <c r="I99" s="31"/>
      <c r="J99" s="31"/>
      <c r="K99" s="31"/>
      <c r="L99" s="31"/>
      <c r="M99" s="31"/>
      <c r="N99" s="31"/>
      <c r="O99" s="31"/>
      <c r="P99" s="31"/>
      <c r="Q99" s="31"/>
      <c r="R99" s="31"/>
      <c r="S99" s="31"/>
      <c r="T99" s="31"/>
      <c r="U99" s="116"/>
    </row>
    <row r="100" spans="1:23" s="68" customFormat="1" ht="16" x14ac:dyDescent="0.2">
      <c r="B100" s="22" t="s">
        <v>567</v>
      </c>
      <c r="C100" s="127" t="s">
        <v>568</v>
      </c>
      <c r="D100" s="31"/>
      <c r="E100" s="31"/>
      <c r="F100" s="31"/>
      <c r="G100" s="31"/>
      <c r="H100" s="31"/>
      <c r="I100" s="31"/>
      <c r="J100" s="31"/>
      <c r="K100" s="31"/>
      <c r="L100" s="31"/>
      <c r="M100" s="31"/>
      <c r="N100" s="31"/>
      <c r="O100" s="31"/>
      <c r="P100" s="31"/>
      <c r="Q100" s="31"/>
      <c r="R100" s="31"/>
      <c r="S100" s="31"/>
      <c r="T100" s="31"/>
      <c r="U100" s="116"/>
    </row>
    <row r="101" spans="1:23" s="68" customFormat="1" ht="16" x14ac:dyDescent="0.2">
      <c r="B101" s="22" t="s">
        <v>569</v>
      </c>
      <c r="C101" s="127" t="s">
        <v>570</v>
      </c>
      <c r="D101" s="31"/>
      <c r="E101" s="31"/>
      <c r="F101" s="31"/>
      <c r="G101" s="31"/>
      <c r="H101" s="31"/>
      <c r="I101" s="31"/>
      <c r="J101" s="31"/>
      <c r="K101" s="31"/>
      <c r="L101" s="31"/>
      <c r="M101" s="31"/>
      <c r="N101" s="31"/>
      <c r="O101" s="31"/>
      <c r="P101" s="31"/>
      <c r="Q101" s="31"/>
      <c r="R101" s="31"/>
      <c r="S101" s="31"/>
      <c r="T101" s="31"/>
      <c r="U101" s="116"/>
    </row>
    <row r="102" spans="1:23" s="68" customFormat="1" ht="16" x14ac:dyDescent="0.2">
      <c r="B102" s="22" t="s">
        <v>571</v>
      </c>
      <c r="C102" s="127" t="s">
        <v>572</v>
      </c>
      <c r="D102" s="31"/>
      <c r="E102" s="31"/>
      <c r="F102" s="31"/>
      <c r="G102" s="31"/>
      <c r="H102" s="31"/>
      <c r="I102" s="31"/>
      <c r="J102" s="31"/>
      <c r="K102" s="31"/>
      <c r="L102" s="31"/>
      <c r="M102" s="31"/>
      <c r="N102" s="31"/>
      <c r="O102" s="31"/>
      <c r="P102" s="31"/>
      <c r="Q102" s="31"/>
      <c r="R102" s="31"/>
      <c r="S102" s="31"/>
      <c r="T102" s="31"/>
      <c r="U102" s="116"/>
    </row>
    <row r="103" spans="1:23" s="68" customFormat="1" ht="16" x14ac:dyDescent="0.2">
      <c r="B103" s="22" t="s">
        <v>573</v>
      </c>
      <c r="C103" s="127" t="s">
        <v>574</v>
      </c>
      <c r="D103" s="31"/>
      <c r="E103" s="31"/>
      <c r="F103" s="31"/>
      <c r="G103" s="31"/>
      <c r="H103" s="31"/>
      <c r="I103" s="31"/>
      <c r="J103" s="31"/>
      <c r="K103" s="31"/>
      <c r="L103" s="31"/>
      <c r="M103" s="31"/>
      <c r="N103" s="31"/>
      <c r="O103" s="31"/>
      <c r="P103" s="31"/>
      <c r="Q103" s="31"/>
      <c r="R103" s="31"/>
      <c r="S103" s="31"/>
      <c r="T103" s="31"/>
      <c r="U103" s="116"/>
    </row>
    <row r="104" spans="1:23" ht="16" x14ac:dyDescent="0.2">
      <c r="A104" s="68"/>
      <c r="B104" s="22" t="s">
        <v>575</v>
      </c>
      <c r="C104" s="127" t="s">
        <v>576</v>
      </c>
      <c r="D104" s="31"/>
      <c r="E104" s="31"/>
      <c r="F104" s="31"/>
      <c r="G104" s="31"/>
      <c r="H104" s="31"/>
      <c r="I104" s="31"/>
      <c r="J104" s="31"/>
      <c r="K104" s="31"/>
      <c r="L104" s="31"/>
      <c r="M104" s="31"/>
      <c r="N104" s="31"/>
      <c r="O104" s="31"/>
      <c r="P104" s="31"/>
      <c r="Q104" s="31"/>
      <c r="R104" s="31"/>
      <c r="S104" s="31"/>
      <c r="T104" s="31"/>
      <c r="U104" s="116"/>
      <c r="V104" s="68"/>
      <c r="W104" s="68"/>
    </row>
    <row r="105" spans="1:23" ht="16" x14ac:dyDescent="0.2">
      <c r="A105" s="68"/>
      <c r="B105" s="22" t="s">
        <v>577</v>
      </c>
      <c r="C105" s="127" t="s">
        <v>578</v>
      </c>
      <c r="D105" s="31"/>
      <c r="E105" s="31"/>
      <c r="F105" s="31"/>
      <c r="G105" s="31"/>
      <c r="H105" s="31"/>
      <c r="I105" s="31"/>
      <c r="J105" s="31"/>
      <c r="K105" s="31"/>
      <c r="L105" s="31"/>
      <c r="M105" s="31"/>
      <c r="N105" s="31"/>
      <c r="O105" s="31"/>
      <c r="P105" s="31"/>
      <c r="Q105" s="31"/>
      <c r="R105" s="31"/>
      <c r="S105" s="31"/>
      <c r="T105" s="31"/>
      <c r="U105" s="116"/>
      <c r="V105" s="68"/>
      <c r="W105" s="68"/>
    </row>
    <row r="106" spans="1:23" ht="16" x14ac:dyDescent="0.2">
      <c r="A106" s="68"/>
      <c r="B106" s="22" t="s">
        <v>579</v>
      </c>
      <c r="C106" s="127" t="s">
        <v>580</v>
      </c>
      <c r="D106" s="31"/>
      <c r="E106" s="31"/>
      <c r="F106" s="31"/>
      <c r="G106" s="31"/>
      <c r="H106" s="31"/>
      <c r="I106" s="31"/>
      <c r="J106" s="31"/>
      <c r="K106" s="31"/>
      <c r="L106" s="31"/>
      <c r="M106" s="31"/>
      <c r="N106" s="31"/>
      <c r="O106" s="31"/>
      <c r="P106" s="31"/>
      <c r="Q106" s="31"/>
      <c r="R106" s="31"/>
      <c r="S106" s="31"/>
      <c r="T106" s="31"/>
      <c r="U106" s="116"/>
      <c r="V106" s="68"/>
      <c r="W106" s="68"/>
    </row>
    <row r="107" spans="1:23" ht="16" x14ac:dyDescent="0.2">
      <c r="A107" s="68"/>
      <c r="B107" s="22" t="s">
        <v>581</v>
      </c>
      <c r="C107" s="127" t="s">
        <v>582</v>
      </c>
      <c r="D107" s="31"/>
      <c r="E107" s="31"/>
      <c r="F107" s="31"/>
      <c r="G107" s="31"/>
      <c r="H107" s="31"/>
      <c r="I107" s="31"/>
      <c r="J107" s="31"/>
      <c r="K107" s="31"/>
      <c r="L107" s="31"/>
      <c r="M107" s="31"/>
      <c r="N107" s="31"/>
      <c r="O107" s="31"/>
      <c r="P107" s="31"/>
      <c r="Q107" s="31"/>
      <c r="R107" s="31"/>
      <c r="S107" s="31"/>
      <c r="T107" s="31"/>
      <c r="U107" s="116"/>
      <c r="V107" s="68"/>
      <c r="W107" s="68"/>
    </row>
    <row r="108" spans="1:23" ht="16" x14ac:dyDescent="0.2">
      <c r="A108" s="68"/>
      <c r="B108" s="22" t="s">
        <v>583</v>
      </c>
      <c r="C108" s="127" t="s">
        <v>584</v>
      </c>
      <c r="D108" s="31"/>
      <c r="E108" s="31"/>
      <c r="F108" s="31"/>
      <c r="G108" s="31"/>
      <c r="H108" s="31"/>
      <c r="I108" s="31"/>
      <c r="J108" s="31"/>
      <c r="K108" s="31"/>
      <c r="L108" s="31"/>
      <c r="M108" s="31"/>
      <c r="N108" s="31"/>
      <c r="O108" s="31"/>
      <c r="P108" s="31"/>
      <c r="Q108" s="31"/>
      <c r="R108" s="31"/>
      <c r="S108" s="31"/>
      <c r="T108" s="31"/>
      <c r="U108" s="116"/>
      <c r="V108" s="68"/>
      <c r="W108" s="68"/>
    </row>
    <row r="109" spans="1:23" ht="16" x14ac:dyDescent="0.2">
      <c r="A109" s="68"/>
      <c r="B109" s="22" t="s">
        <v>585</v>
      </c>
      <c r="C109" s="127" t="s">
        <v>586</v>
      </c>
      <c r="D109" s="31"/>
      <c r="E109" s="31"/>
      <c r="F109" s="31"/>
      <c r="G109" s="31"/>
      <c r="H109" s="31"/>
      <c r="I109" s="31"/>
      <c r="J109" s="31"/>
      <c r="K109" s="31"/>
      <c r="L109" s="31"/>
      <c r="M109" s="31"/>
      <c r="N109" s="31"/>
      <c r="O109" s="31"/>
      <c r="P109" s="31"/>
      <c r="Q109" s="31"/>
      <c r="R109" s="31"/>
      <c r="S109" s="31"/>
      <c r="T109" s="31"/>
      <c r="U109" s="116"/>
      <c r="V109" s="68"/>
      <c r="W109" s="68"/>
    </row>
    <row r="110" spans="1:23" x14ac:dyDescent="0.2">
      <c r="A110" s="68"/>
      <c r="B110" s="68"/>
      <c r="C110" s="68"/>
      <c r="D110" s="68"/>
      <c r="E110" s="68"/>
      <c r="F110" s="68"/>
      <c r="G110" s="68"/>
      <c r="H110" s="68"/>
      <c r="I110" s="68"/>
      <c r="J110" s="68"/>
      <c r="K110" s="68"/>
      <c r="L110" s="68"/>
      <c r="M110" s="68"/>
      <c r="N110" s="68"/>
      <c r="O110" s="68"/>
      <c r="P110" s="68"/>
      <c r="Q110" s="68"/>
      <c r="R110" s="68"/>
      <c r="S110" s="68"/>
      <c r="T110" s="68"/>
      <c r="U110" s="68"/>
      <c r="V110" s="68"/>
      <c r="W110" s="68"/>
    </row>
    <row r="112" spans="1:23" ht="14.5" customHeight="1" x14ac:dyDescent="0.2">
      <c r="A112" s="68"/>
      <c r="B112" s="235" t="s">
        <v>587</v>
      </c>
      <c r="C112" s="236"/>
      <c r="D112" s="236"/>
      <c r="E112" s="236"/>
      <c r="F112" s="236"/>
      <c r="G112" s="236"/>
      <c r="H112" s="236"/>
      <c r="I112" s="236"/>
      <c r="J112" s="236"/>
      <c r="K112" s="236"/>
      <c r="L112" s="236"/>
      <c r="M112" s="236"/>
      <c r="N112" s="236"/>
      <c r="O112" s="236"/>
      <c r="P112" s="236"/>
      <c r="Q112" s="236"/>
      <c r="R112" s="236"/>
      <c r="S112" s="236"/>
      <c r="T112" s="236"/>
      <c r="U112" s="237"/>
      <c r="V112" s="68"/>
      <c r="W112" s="68"/>
    </row>
    <row r="113" spans="1:23" x14ac:dyDescent="0.2">
      <c r="A113" s="68"/>
      <c r="B113" s="92"/>
      <c r="C113" s="90"/>
      <c r="D113" s="17"/>
      <c r="E113" s="17"/>
      <c r="F113" s="17"/>
      <c r="G113" s="17"/>
      <c r="H113" s="17"/>
      <c r="I113" s="17"/>
      <c r="J113" s="17"/>
      <c r="K113" s="17"/>
      <c r="L113" s="17"/>
      <c r="M113" s="17"/>
      <c r="N113" s="17"/>
      <c r="O113" s="17"/>
      <c r="P113" s="17"/>
      <c r="Q113" s="17"/>
      <c r="R113" s="17"/>
      <c r="S113" s="17"/>
      <c r="T113" s="17"/>
      <c r="U113" s="17"/>
      <c r="V113" s="68"/>
      <c r="W113" s="68"/>
    </row>
    <row r="114" spans="1:23" ht="26.5" customHeight="1" x14ac:dyDescent="0.2">
      <c r="A114" s="68"/>
      <c r="B114" s="238" t="s">
        <v>588</v>
      </c>
      <c r="C114" s="238"/>
      <c r="D114" s="238"/>
      <c r="E114" s="238"/>
      <c r="F114" s="238"/>
      <c r="G114" s="238"/>
      <c r="H114" s="238"/>
      <c r="I114" s="238"/>
      <c r="J114" s="238"/>
      <c r="K114" s="238"/>
      <c r="L114" s="238"/>
      <c r="M114" s="238"/>
      <c r="N114" s="238"/>
      <c r="O114" s="238"/>
      <c r="P114" s="238"/>
      <c r="Q114" s="238"/>
      <c r="R114" s="238"/>
      <c r="S114" s="238"/>
      <c r="T114" s="238"/>
      <c r="U114" s="155"/>
      <c r="V114" s="68"/>
      <c r="W114" s="68"/>
    </row>
    <row r="115" spans="1:23" x14ac:dyDescent="0.2">
      <c r="A115" s="68"/>
      <c r="B115" s="23"/>
      <c r="C115" s="214" t="s">
        <v>526</v>
      </c>
      <c r="D115" s="215"/>
      <c r="E115" s="215"/>
      <c r="F115" s="216"/>
      <c r="G115" s="214" t="s">
        <v>527</v>
      </c>
      <c r="H115" s="215"/>
      <c r="I115" s="215"/>
      <c r="J115" s="216"/>
      <c r="K115" s="214" t="s">
        <v>528</v>
      </c>
      <c r="L115" s="215"/>
      <c r="M115" s="215"/>
      <c r="N115" s="216"/>
      <c r="O115" s="214" t="s">
        <v>529</v>
      </c>
      <c r="P115" s="215"/>
      <c r="Q115" s="215"/>
      <c r="R115" s="216"/>
      <c r="S115" s="214" t="s">
        <v>530</v>
      </c>
      <c r="T115" s="215"/>
      <c r="U115" s="215"/>
      <c r="V115" s="215"/>
      <c r="W115" s="68"/>
    </row>
    <row r="116" spans="1:23" ht="16" x14ac:dyDescent="0.2">
      <c r="A116" s="68"/>
      <c r="B116" s="93" t="s">
        <v>589</v>
      </c>
      <c r="C116" s="16" t="s">
        <v>532</v>
      </c>
      <c r="D116" s="16" t="s">
        <v>533</v>
      </c>
      <c r="E116" s="16" t="s">
        <v>534</v>
      </c>
      <c r="F116" s="16" t="s">
        <v>535</v>
      </c>
      <c r="G116" s="16" t="s">
        <v>532</v>
      </c>
      <c r="H116" s="16" t="s">
        <v>533</v>
      </c>
      <c r="I116" s="16" t="s">
        <v>534</v>
      </c>
      <c r="J116" s="16" t="s">
        <v>535</v>
      </c>
      <c r="K116" s="16" t="s">
        <v>532</v>
      </c>
      <c r="L116" s="16" t="s">
        <v>533</v>
      </c>
      <c r="M116" s="16" t="s">
        <v>534</v>
      </c>
      <c r="N116" s="16" t="s">
        <v>535</v>
      </c>
      <c r="O116" s="16" t="s">
        <v>532</v>
      </c>
      <c r="P116" s="16" t="s">
        <v>533</v>
      </c>
      <c r="Q116" s="16" t="s">
        <v>534</v>
      </c>
      <c r="R116" s="16" t="s">
        <v>535</v>
      </c>
      <c r="S116" s="16" t="s">
        <v>532</v>
      </c>
      <c r="T116" s="16" t="s">
        <v>533</v>
      </c>
      <c r="U116" s="16" t="s">
        <v>534</v>
      </c>
      <c r="V116" s="16" t="s">
        <v>535</v>
      </c>
      <c r="W116" s="68"/>
    </row>
    <row r="117" spans="1:23" ht="16" x14ac:dyDescent="0.2">
      <c r="A117" s="68"/>
      <c r="B117" s="94" t="s">
        <v>590</v>
      </c>
      <c r="C117" s="95">
        <v>0.66</v>
      </c>
      <c r="D117" s="95">
        <v>4.67</v>
      </c>
      <c r="E117" s="95">
        <v>6.34</v>
      </c>
      <c r="F117" s="95">
        <v>10.199999999999999</v>
      </c>
      <c r="G117" s="95">
        <v>13.33</v>
      </c>
      <c r="H117" s="95">
        <v>10.54</v>
      </c>
      <c r="I117" s="95">
        <v>10.26</v>
      </c>
      <c r="J117" s="95">
        <v>9.9499999999999993</v>
      </c>
      <c r="K117" s="95">
        <v>9.73</v>
      </c>
      <c r="L117" s="95">
        <v>9.52</v>
      </c>
      <c r="M117" s="95">
        <v>9.23</v>
      </c>
      <c r="N117" s="95">
        <v>8.82</v>
      </c>
      <c r="O117" s="95">
        <v>8.39</v>
      </c>
      <c r="P117" s="95">
        <v>8.06</v>
      </c>
      <c r="Q117" s="95">
        <v>7.92</v>
      </c>
      <c r="R117" s="95">
        <v>7.75</v>
      </c>
      <c r="S117" s="95">
        <v>7.57</v>
      </c>
      <c r="T117" s="95">
        <v>7.4</v>
      </c>
      <c r="U117" s="95">
        <v>7.34</v>
      </c>
      <c r="V117" s="95">
        <v>7.32</v>
      </c>
      <c r="W117" s="132"/>
    </row>
    <row r="118" spans="1:23" ht="16" x14ac:dyDescent="0.2">
      <c r="A118" s="68"/>
      <c r="B118" s="94" t="s">
        <v>591</v>
      </c>
      <c r="C118" s="95">
        <v>1.54</v>
      </c>
      <c r="D118" s="95">
        <v>4.93</v>
      </c>
      <c r="E118" s="95">
        <v>18.11</v>
      </c>
      <c r="F118" s="95">
        <v>20.82</v>
      </c>
      <c r="G118" s="95">
        <v>19.73</v>
      </c>
      <c r="H118" s="95">
        <v>20.149999999999999</v>
      </c>
      <c r="I118" s="95">
        <v>19.63</v>
      </c>
      <c r="J118" s="95">
        <v>19.170000000000002</v>
      </c>
      <c r="K118" s="95">
        <v>17.46</v>
      </c>
      <c r="L118" s="95">
        <v>16.18</v>
      </c>
      <c r="M118" s="95">
        <v>15.62</v>
      </c>
      <c r="N118" s="95">
        <v>15.16</v>
      </c>
      <c r="O118" s="95">
        <v>14.63</v>
      </c>
      <c r="P118" s="95">
        <v>14.05</v>
      </c>
      <c r="Q118" s="95">
        <v>13.64</v>
      </c>
      <c r="R118" s="95">
        <v>13.39</v>
      </c>
      <c r="S118" s="95">
        <v>13.13</v>
      </c>
      <c r="T118" s="95">
        <v>12.81</v>
      </c>
      <c r="U118" s="95">
        <v>12.46</v>
      </c>
      <c r="V118" s="95">
        <v>12.39</v>
      </c>
      <c r="W118" s="143"/>
    </row>
    <row r="119" spans="1:23" ht="16" x14ac:dyDescent="0.2">
      <c r="A119" s="68"/>
      <c r="B119" s="72" t="s">
        <v>592</v>
      </c>
      <c r="C119" s="73">
        <v>2.2000000000000002</v>
      </c>
      <c r="D119" s="73">
        <v>9.6</v>
      </c>
      <c r="E119" s="73">
        <v>24.45</v>
      </c>
      <c r="F119" s="73">
        <v>31.02</v>
      </c>
      <c r="G119" s="73">
        <v>33.06</v>
      </c>
      <c r="H119" s="73">
        <v>30.69</v>
      </c>
      <c r="I119" s="73">
        <v>29.9</v>
      </c>
      <c r="J119" s="73">
        <v>29.12</v>
      </c>
      <c r="K119" s="73">
        <v>27.18</v>
      </c>
      <c r="L119" s="73">
        <v>25.7</v>
      </c>
      <c r="M119" s="73">
        <v>24.85</v>
      </c>
      <c r="N119" s="73">
        <v>23.99</v>
      </c>
      <c r="O119" s="73">
        <v>23.02</v>
      </c>
      <c r="P119" s="73">
        <v>22.11</v>
      </c>
      <c r="Q119" s="73">
        <v>21.55</v>
      </c>
      <c r="R119" s="73">
        <v>21.14</v>
      </c>
      <c r="S119" s="73">
        <v>20.7</v>
      </c>
      <c r="T119" s="73">
        <v>20.21</v>
      </c>
      <c r="U119" s="73">
        <v>19.79</v>
      </c>
      <c r="V119" s="73">
        <v>19.71</v>
      </c>
      <c r="W119" s="68"/>
    </row>
    <row r="120" spans="1:23" ht="16" x14ac:dyDescent="0.2">
      <c r="A120" s="68"/>
      <c r="B120" s="72" t="s">
        <v>593</v>
      </c>
      <c r="C120" s="131">
        <v>0.03</v>
      </c>
      <c r="D120" s="131">
        <v>0.27</v>
      </c>
      <c r="E120" s="131">
        <v>0.13</v>
      </c>
      <c r="F120" s="131">
        <v>0.12</v>
      </c>
      <c r="G120" s="131">
        <v>0.13</v>
      </c>
      <c r="H120" s="131">
        <v>0.22</v>
      </c>
      <c r="I120" s="131">
        <v>0.22</v>
      </c>
      <c r="J120" s="131">
        <v>0.24</v>
      </c>
      <c r="K120" s="131">
        <v>0.28999999999999998</v>
      </c>
      <c r="L120" s="131">
        <v>0.33</v>
      </c>
      <c r="M120" s="131">
        <v>0.35</v>
      </c>
      <c r="N120" s="131">
        <v>0.38</v>
      </c>
      <c r="O120" s="131">
        <v>0.4</v>
      </c>
      <c r="P120" s="131">
        <v>0.42</v>
      </c>
      <c r="Q120" s="131">
        <v>0.44</v>
      </c>
      <c r="R120" s="131">
        <v>0.45</v>
      </c>
      <c r="S120" s="131">
        <v>0.46</v>
      </c>
      <c r="T120" s="131">
        <v>0.48</v>
      </c>
      <c r="U120" s="131">
        <v>0.49</v>
      </c>
      <c r="V120" s="131">
        <v>0.49</v>
      </c>
      <c r="W120" s="68"/>
    </row>
    <row r="121" spans="1:23" x14ac:dyDescent="0.2">
      <c r="A121" s="68"/>
      <c r="B121" s="68" t="s">
        <v>594</v>
      </c>
      <c r="C121" s="68"/>
      <c r="D121" s="68"/>
      <c r="E121" s="68"/>
      <c r="F121" s="68"/>
      <c r="G121" s="68"/>
      <c r="H121" s="68"/>
      <c r="I121" s="68"/>
      <c r="J121" s="68"/>
      <c r="K121" s="68"/>
      <c r="L121" s="68"/>
      <c r="M121" s="68"/>
      <c r="N121" s="68"/>
      <c r="O121" s="68"/>
      <c r="P121" s="68"/>
      <c r="Q121" s="68"/>
      <c r="R121" s="68"/>
      <c r="S121" s="68"/>
      <c r="T121" s="68"/>
      <c r="U121" s="68"/>
      <c r="V121" s="68"/>
      <c r="W121" s="68"/>
    </row>
    <row r="122" spans="1:23" x14ac:dyDescent="0.2">
      <c r="A122" s="68"/>
      <c r="B122" s="68"/>
      <c r="C122" s="68"/>
      <c r="D122" s="68"/>
      <c r="E122" s="68"/>
      <c r="F122" s="68"/>
      <c r="G122" s="68"/>
      <c r="H122" s="68"/>
      <c r="I122" s="68"/>
      <c r="J122" s="68"/>
      <c r="K122" s="68"/>
      <c r="L122" s="68"/>
      <c r="M122" s="68"/>
      <c r="N122" s="68"/>
      <c r="O122" s="68"/>
      <c r="P122" s="68"/>
      <c r="Q122" s="68"/>
      <c r="R122" s="68"/>
      <c r="S122" s="68"/>
      <c r="T122" s="68"/>
      <c r="U122" s="68"/>
      <c r="V122" s="68"/>
      <c r="W122" s="68"/>
    </row>
  </sheetData>
  <mergeCells count="39">
    <mergeCell ref="B2:T2"/>
    <mergeCell ref="C92:U92"/>
    <mergeCell ref="B5:U5"/>
    <mergeCell ref="B48:V48"/>
    <mergeCell ref="B61:V61"/>
    <mergeCell ref="B91:U91"/>
    <mergeCell ref="B7:U7"/>
    <mergeCell ref="B63:V63"/>
    <mergeCell ref="B3:U3"/>
    <mergeCell ref="O65:R65"/>
    <mergeCell ref="S65:V65"/>
    <mergeCell ref="B50:U50"/>
    <mergeCell ref="B76:V76"/>
    <mergeCell ref="B78:V78"/>
    <mergeCell ref="O52:R52"/>
    <mergeCell ref="D41:D46"/>
    <mergeCell ref="B112:U112"/>
    <mergeCell ref="B114:U114"/>
    <mergeCell ref="B89:U89"/>
    <mergeCell ref="C115:F115"/>
    <mergeCell ref="G115:J115"/>
    <mergeCell ref="K115:N115"/>
    <mergeCell ref="O115:R115"/>
    <mergeCell ref="S115:V115"/>
    <mergeCell ref="C65:F65"/>
    <mergeCell ref="G65:J65"/>
    <mergeCell ref="K65:N65"/>
    <mergeCell ref="D81:D85"/>
    <mergeCell ref="B11:B16"/>
    <mergeCell ref="B17:B25"/>
    <mergeCell ref="B26:B34"/>
    <mergeCell ref="B36:U36"/>
    <mergeCell ref="B38:U38"/>
    <mergeCell ref="D11:I34"/>
    <mergeCell ref="C52:F52"/>
    <mergeCell ref="G52:J52"/>
    <mergeCell ref="K52:N52"/>
    <mergeCell ref="C56:V56"/>
    <mergeCell ref="S52:V52"/>
  </mergeCells>
  <phoneticPr fontId="15" type="noConversion"/>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3"/>
  </sheetPr>
  <dimension ref="A1:AI252"/>
  <sheetViews>
    <sheetView showGridLines="0" zoomScale="104" zoomScaleNormal="104" workbookViewId="0">
      <pane xSplit="1" ySplit="3" topLeftCell="B147" activePane="bottomRight" state="frozen"/>
      <selection pane="topRight"/>
      <selection pane="bottomLeft"/>
      <selection pane="bottomRight" activeCell="G151" sqref="G151"/>
    </sheetView>
  </sheetViews>
  <sheetFormatPr baseColWidth="10" defaultColWidth="8.83203125" defaultRowHeight="15" x14ac:dyDescent="0.2"/>
  <cols>
    <col min="1" max="1" width="2" customWidth="1"/>
    <col min="2" max="2" width="31.1640625" customWidth="1"/>
    <col min="3" max="4" width="23.5" customWidth="1"/>
    <col min="5" max="5" width="26.1640625" customWidth="1"/>
    <col min="6" max="6" width="26.5" customWidth="1"/>
    <col min="7" max="7" width="26" customWidth="1"/>
    <col min="8" max="8" width="32.83203125" customWidth="1"/>
    <col min="9" max="20" width="14.83203125" customWidth="1"/>
  </cols>
  <sheetData>
    <row r="1" spans="1:20" x14ac:dyDescent="0.2">
      <c r="A1" s="7"/>
      <c r="B1" s="11"/>
      <c r="C1" s="11"/>
      <c r="D1" s="11"/>
      <c r="E1" s="11"/>
      <c r="F1" s="11"/>
      <c r="G1" s="11"/>
      <c r="H1" s="11"/>
      <c r="I1" s="11"/>
      <c r="J1" s="11"/>
      <c r="K1" s="11"/>
      <c r="L1" s="11"/>
      <c r="M1" s="11"/>
      <c r="N1" s="11"/>
      <c r="O1" s="11"/>
      <c r="P1" s="11"/>
      <c r="Q1" s="11"/>
      <c r="R1" s="11"/>
      <c r="S1" s="11"/>
      <c r="T1" s="11"/>
    </row>
    <row r="2" spans="1:20" s="7" customFormat="1" ht="20" x14ac:dyDescent="0.2">
      <c r="B2" s="255" t="s">
        <v>595</v>
      </c>
      <c r="C2" s="255"/>
      <c r="D2" s="255"/>
      <c r="E2" s="255"/>
      <c r="F2" s="255"/>
      <c r="T2" s="39"/>
    </row>
    <row r="3" spans="1:20" s="7" customFormat="1" x14ac:dyDescent="0.2">
      <c r="B3" s="252" t="s">
        <v>596</v>
      </c>
      <c r="C3" s="253"/>
      <c r="D3" s="253"/>
      <c r="E3" s="253"/>
      <c r="F3" s="254"/>
      <c r="G3" s="23"/>
      <c r="H3" s="23"/>
      <c r="I3" s="23"/>
      <c r="J3" s="23"/>
      <c r="K3" s="23"/>
      <c r="L3" s="23"/>
    </row>
    <row r="4" spans="1:20" s="40" customFormat="1" x14ac:dyDescent="0.2">
      <c r="A4" s="7"/>
      <c r="B4" s="256" t="s">
        <v>597</v>
      </c>
      <c r="C4" s="257"/>
      <c r="D4" s="257"/>
      <c r="E4" s="257"/>
      <c r="F4" s="257"/>
    </row>
    <row r="5" spans="1:20" s="7" customFormat="1" x14ac:dyDescent="0.2">
      <c r="B5" s="258" t="s">
        <v>598</v>
      </c>
      <c r="C5" s="258"/>
      <c r="D5" s="258"/>
      <c r="E5" s="258"/>
      <c r="F5" s="258"/>
      <c r="G5" s="23"/>
      <c r="H5" s="23"/>
      <c r="I5" s="23"/>
      <c r="J5" s="23"/>
      <c r="K5" s="23"/>
      <c r="L5" s="23"/>
      <c r="M5" s="23"/>
      <c r="N5" s="23"/>
      <c r="O5" s="23"/>
      <c r="P5" s="23"/>
      <c r="Q5" s="23"/>
      <c r="R5" s="23"/>
      <c r="S5" s="23"/>
      <c r="T5" s="23"/>
    </row>
    <row r="6" spans="1:20" ht="32" x14ac:dyDescent="0.2">
      <c r="A6" s="7"/>
      <c r="B6" s="9" t="s">
        <v>599</v>
      </c>
      <c r="C6" s="9" t="s">
        <v>600</v>
      </c>
      <c r="D6" s="9" t="s">
        <v>601</v>
      </c>
      <c r="E6" s="9" t="s">
        <v>602</v>
      </c>
      <c r="F6" s="9" t="s">
        <v>603</v>
      </c>
      <c r="G6" s="7"/>
      <c r="H6" s="7"/>
      <c r="I6" s="7"/>
      <c r="J6" s="7"/>
      <c r="K6" s="7"/>
      <c r="L6" s="7"/>
      <c r="M6" s="7"/>
      <c r="N6" s="7"/>
      <c r="O6" s="7"/>
      <c r="P6" s="7"/>
      <c r="Q6" s="7"/>
      <c r="R6" s="7"/>
      <c r="S6" s="7"/>
      <c r="T6" s="7"/>
    </row>
    <row r="7" spans="1:20" x14ac:dyDescent="0.2">
      <c r="A7" s="7"/>
      <c r="B7" s="11"/>
      <c r="C7" s="11"/>
      <c r="D7" s="11"/>
      <c r="E7" s="11"/>
      <c r="F7" s="11"/>
      <c r="G7" s="7"/>
      <c r="H7" s="7"/>
      <c r="I7" s="7"/>
      <c r="J7" s="7"/>
      <c r="K7" s="7"/>
      <c r="L7" s="7"/>
      <c r="M7" s="7"/>
      <c r="N7" s="7"/>
      <c r="O7" s="7"/>
      <c r="P7" s="7"/>
      <c r="Q7" s="7"/>
      <c r="R7" s="7"/>
      <c r="S7" s="7"/>
      <c r="T7" s="7"/>
    </row>
    <row r="8" spans="1:20" ht="16" x14ac:dyDescent="0.2">
      <c r="A8" s="7"/>
      <c r="B8" s="24" t="s">
        <v>604</v>
      </c>
      <c r="C8" s="24" t="s">
        <v>605</v>
      </c>
      <c r="D8" s="24" t="s">
        <v>606</v>
      </c>
      <c r="E8" s="24" t="s">
        <v>607</v>
      </c>
      <c r="F8" s="24" t="s">
        <v>607</v>
      </c>
      <c r="G8" s="7"/>
      <c r="H8" s="7"/>
      <c r="I8" s="7"/>
      <c r="J8" s="7"/>
      <c r="K8" s="7"/>
      <c r="L8" s="7"/>
      <c r="M8" s="7"/>
      <c r="N8" s="7"/>
      <c r="O8" s="7"/>
      <c r="P8" s="7"/>
      <c r="Q8" s="7"/>
      <c r="R8" s="7"/>
      <c r="S8" s="7"/>
      <c r="T8" s="7"/>
    </row>
    <row r="9" spans="1:20" ht="80" x14ac:dyDescent="0.2">
      <c r="A9" s="7"/>
      <c r="B9" s="8" t="s">
        <v>608</v>
      </c>
      <c r="C9" s="8" t="s">
        <v>609</v>
      </c>
      <c r="D9" s="8" t="s">
        <v>610</v>
      </c>
      <c r="E9" s="8" t="s">
        <v>611</v>
      </c>
      <c r="F9" s="8"/>
      <c r="G9" s="7"/>
      <c r="H9" s="7"/>
      <c r="I9" s="7"/>
      <c r="J9" s="7"/>
      <c r="K9" s="7"/>
      <c r="L9" s="7"/>
      <c r="M9" s="7"/>
      <c r="N9" s="7"/>
      <c r="O9" s="7"/>
      <c r="P9" s="7"/>
      <c r="Q9" s="7"/>
      <c r="R9" s="7"/>
      <c r="S9" s="7"/>
      <c r="T9" s="7"/>
    </row>
    <row r="10" spans="1:20" ht="80" x14ac:dyDescent="0.2">
      <c r="A10" s="7"/>
      <c r="B10" s="8" t="s">
        <v>612</v>
      </c>
      <c r="C10" s="8" t="s">
        <v>613</v>
      </c>
      <c r="D10" s="8" t="s">
        <v>614</v>
      </c>
      <c r="E10" s="8" t="s">
        <v>611</v>
      </c>
      <c r="F10" s="8" t="s">
        <v>615</v>
      </c>
      <c r="G10" s="7"/>
      <c r="H10" s="7"/>
      <c r="I10" s="7"/>
      <c r="J10" s="7"/>
      <c r="K10" s="7"/>
      <c r="L10" s="7"/>
      <c r="M10" s="7"/>
      <c r="N10" s="7"/>
      <c r="O10" s="7"/>
      <c r="P10" s="7"/>
      <c r="Q10" s="7"/>
      <c r="R10" s="7"/>
      <c r="S10" s="7"/>
      <c r="T10" s="7"/>
    </row>
    <row r="11" spans="1:20" s="7" customFormat="1" ht="155.25" customHeight="1" x14ac:dyDescent="0.2">
      <c r="B11" s="8" t="s">
        <v>604</v>
      </c>
      <c r="C11" s="8" t="s">
        <v>616</v>
      </c>
      <c r="D11" s="8" t="s">
        <v>617</v>
      </c>
      <c r="E11" s="8" t="s">
        <v>618</v>
      </c>
      <c r="F11" s="8"/>
    </row>
    <row r="12" spans="1:20" s="7" customFormat="1" ht="156.75" customHeight="1" x14ac:dyDescent="0.2">
      <c r="B12" s="8" t="s">
        <v>619</v>
      </c>
      <c r="C12" s="8" t="s">
        <v>620</v>
      </c>
      <c r="D12" s="8" t="s">
        <v>617</v>
      </c>
      <c r="E12" s="8" t="s">
        <v>618</v>
      </c>
      <c r="F12" s="8"/>
    </row>
    <row r="13" spans="1:20" s="7" customFormat="1" ht="144" x14ac:dyDescent="0.2">
      <c r="B13" s="8" t="s">
        <v>621</v>
      </c>
      <c r="C13" s="8" t="s">
        <v>622</v>
      </c>
      <c r="D13" s="8" t="s">
        <v>617</v>
      </c>
      <c r="E13" s="8" t="s">
        <v>618</v>
      </c>
      <c r="F13" s="8"/>
    </row>
    <row r="14" spans="1:20" s="7" customFormat="1" ht="161.25" customHeight="1" x14ac:dyDescent="0.2">
      <c r="B14" s="8" t="s">
        <v>623</v>
      </c>
      <c r="C14" s="8" t="s">
        <v>624</v>
      </c>
      <c r="D14" s="8" t="s">
        <v>617</v>
      </c>
      <c r="E14" s="8" t="s">
        <v>618</v>
      </c>
      <c r="F14" s="8"/>
    </row>
    <row r="15" spans="1:20" s="7" customFormat="1" ht="158.25" customHeight="1" x14ac:dyDescent="0.2">
      <c r="B15" s="8" t="s">
        <v>625</v>
      </c>
      <c r="C15" s="8" t="s">
        <v>626</v>
      </c>
      <c r="D15" s="8" t="s">
        <v>617</v>
      </c>
      <c r="E15" s="8" t="s">
        <v>618</v>
      </c>
      <c r="F15" s="8"/>
    </row>
    <row r="16" spans="1:20" s="7" customFormat="1" ht="168.75" customHeight="1" x14ac:dyDescent="0.2">
      <c r="B16" s="8" t="s">
        <v>627</v>
      </c>
      <c r="C16" s="8" t="s">
        <v>628</v>
      </c>
      <c r="D16" s="8" t="s">
        <v>617</v>
      </c>
      <c r="E16" s="8" t="s">
        <v>618</v>
      </c>
      <c r="F16" s="8"/>
    </row>
    <row r="17" spans="1:22" s="7" customFormat="1" ht="165.75" customHeight="1" x14ac:dyDescent="0.2">
      <c r="B17" s="8" t="s">
        <v>629</v>
      </c>
      <c r="C17" s="8" t="s">
        <v>630</v>
      </c>
      <c r="D17" s="8" t="s">
        <v>617</v>
      </c>
      <c r="E17" s="8" t="s">
        <v>618</v>
      </c>
      <c r="F17" s="8"/>
    </row>
    <row r="18" spans="1:22" s="7" customFormat="1" ht="152.25" customHeight="1" x14ac:dyDescent="0.2">
      <c r="B18" s="8" t="s">
        <v>631</v>
      </c>
      <c r="C18" s="8" t="s">
        <v>632</v>
      </c>
      <c r="D18" s="8" t="s">
        <v>617</v>
      </c>
      <c r="E18" s="8" t="s">
        <v>618</v>
      </c>
      <c r="F18" s="8"/>
    </row>
    <row r="19" spans="1:22" s="7" customFormat="1" ht="171" customHeight="1" x14ac:dyDescent="0.2">
      <c r="B19" s="8" t="s">
        <v>633</v>
      </c>
      <c r="C19" s="8" t="s">
        <v>634</v>
      </c>
      <c r="D19" s="8" t="s">
        <v>617</v>
      </c>
      <c r="E19" s="8" t="s">
        <v>618</v>
      </c>
      <c r="F19" s="8"/>
    </row>
    <row r="20" spans="1:22" s="7" customFormat="1" ht="162" customHeight="1" x14ac:dyDescent="0.2">
      <c r="B20" s="8" t="s">
        <v>635</v>
      </c>
      <c r="C20" s="8" t="s">
        <v>636</v>
      </c>
      <c r="D20" s="8" t="s">
        <v>617</v>
      </c>
      <c r="E20" s="8" t="s">
        <v>618</v>
      </c>
      <c r="F20" s="8"/>
    </row>
    <row r="21" spans="1:22" s="7" customFormat="1" ht="159.75" customHeight="1" x14ac:dyDescent="0.2">
      <c r="B21" s="8" t="s">
        <v>637</v>
      </c>
      <c r="C21" s="8" t="s">
        <v>638</v>
      </c>
      <c r="D21" s="8" t="s">
        <v>639</v>
      </c>
      <c r="E21" s="8" t="s">
        <v>618</v>
      </c>
      <c r="F21" s="8" t="s">
        <v>640</v>
      </c>
    </row>
    <row r="22" spans="1:22" s="7" customFormat="1" ht="151.5" customHeight="1" x14ac:dyDescent="0.2">
      <c r="B22" s="8" t="s">
        <v>641</v>
      </c>
      <c r="C22" s="8" t="s">
        <v>642</v>
      </c>
      <c r="D22" s="8" t="s">
        <v>639</v>
      </c>
      <c r="E22" s="8" t="s">
        <v>618</v>
      </c>
      <c r="F22" s="8" t="s">
        <v>640</v>
      </c>
    </row>
    <row r="23" spans="1:22" s="7" customFormat="1" ht="158.25" customHeight="1" x14ac:dyDescent="0.2">
      <c r="B23" s="8" t="s">
        <v>643</v>
      </c>
      <c r="C23" s="8" t="s">
        <v>644</v>
      </c>
      <c r="D23" s="8" t="s">
        <v>639</v>
      </c>
      <c r="E23" s="8" t="s">
        <v>618</v>
      </c>
      <c r="F23" s="8" t="s">
        <v>640</v>
      </c>
    </row>
    <row r="24" spans="1:22" s="7" customFormat="1" ht="153.75" customHeight="1" x14ac:dyDescent="0.2">
      <c r="B24" s="8" t="s">
        <v>645</v>
      </c>
      <c r="C24" s="8" t="s">
        <v>646</v>
      </c>
      <c r="D24" s="61" t="s">
        <v>647</v>
      </c>
      <c r="E24" s="8" t="s">
        <v>618</v>
      </c>
      <c r="F24" s="8" t="s">
        <v>640</v>
      </c>
    </row>
    <row r="25" spans="1:22" s="7" customFormat="1" ht="144" x14ac:dyDescent="0.2">
      <c r="B25" s="8" t="s">
        <v>648</v>
      </c>
      <c r="C25" s="8" t="s">
        <v>649</v>
      </c>
      <c r="D25" s="8" t="s">
        <v>647</v>
      </c>
      <c r="E25" s="8" t="s">
        <v>618</v>
      </c>
      <c r="F25" s="8" t="s">
        <v>640</v>
      </c>
    </row>
    <row r="26" spans="1:22" s="7" customFormat="1" x14ac:dyDescent="0.2">
      <c r="B26" s="8"/>
      <c r="C26" s="8"/>
      <c r="D26" s="8"/>
      <c r="E26" s="8"/>
      <c r="F26" s="8"/>
    </row>
    <row r="27" spans="1:22" x14ac:dyDescent="0.2">
      <c r="A27" s="7"/>
      <c r="B27" s="8"/>
      <c r="C27" s="8"/>
      <c r="D27" s="8"/>
      <c r="E27" s="8"/>
      <c r="F27" s="8"/>
      <c r="G27" s="7"/>
      <c r="H27" s="7"/>
      <c r="I27" s="7"/>
      <c r="J27" s="7"/>
      <c r="K27" s="7"/>
      <c r="L27" s="7"/>
      <c r="M27" s="7"/>
      <c r="N27" s="7"/>
      <c r="O27" s="7"/>
      <c r="P27" s="7"/>
      <c r="Q27" s="7"/>
      <c r="R27" s="7"/>
      <c r="S27" s="7"/>
      <c r="T27" s="7"/>
      <c r="U27" s="7"/>
      <c r="V27" s="7"/>
    </row>
    <row r="28" spans="1:22" ht="16" x14ac:dyDescent="0.2">
      <c r="A28" s="7"/>
      <c r="B28" s="65" t="s">
        <v>650</v>
      </c>
      <c r="C28" s="65"/>
      <c r="D28" s="65"/>
      <c r="E28" s="65"/>
      <c r="F28" s="65"/>
      <c r="G28" s="7"/>
      <c r="H28" s="7"/>
      <c r="I28" s="7"/>
      <c r="J28" s="7"/>
      <c r="K28" s="7"/>
      <c r="L28" s="7"/>
      <c r="M28" s="7"/>
      <c r="N28" s="7"/>
      <c r="O28" s="7"/>
      <c r="P28" s="7"/>
      <c r="Q28" s="7"/>
      <c r="R28" s="7"/>
      <c r="S28" s="7"/>
      <c r="T28" s="7"/>
      <c r="U28" s="7"/>
      <c r="V28" s="7"/>
    </row>
    <row r="29" spans="1:22" x14ac:dyDescent="0.2">
      <c r="A29" s="7"/>
      <c r="B29" s="158"/>
      <c r="C29" s="158"/>
      <c r="D29" s="158"/>
      <c r="E29" s="158"/>
      <c r="F29" s="158"/>
      <c r="G29" s="158"/>
      <c r="H29" s="158"/>
      <c r="I29" s="158"/>
      <c r="J29" s="158"/>
      <c r="K29" s="158"/>
      <c r="L29" s="158"/>
      <c r="M29" s="158"/>
      <c r="N29" s="158"/>
      <c r="O29" s="158"/>
      <c r="P29" s="158"/>
      <c r="Q29" s="158"/>
      <c r="R29" s="158"/>
      <c r="S29" s="158"/>
      <c r="T29" s="158"/>
      <c r="U29" s="7"/>
      <c r="V29" s="7"/>
    </row>
    <row r="30" spans="1:22" x14ac:dyDescent="0.2">
      <c r="A30" s="7"/>
      <c r="B30" s="175" t="s">
        <v>651</v>
      </c>
      <c r="C30" s="176"/>
      <c r="D30" s="176"/>
      <c r="E30" s="176"/>
      <c r="F30" s="176"/>
      <c r="G30" s="176"/>
      <c r="H30" s="176"/>
      <c r="I30" s="176"/>
      <c r="J30" s="176"/>
      <c r="K30" s="176"/>
      <c r="L30" s="176"/>
      <c r="M30" s="176"/>
      <c r="N30" s="176"/>
      <c r="O30" s="176"/>
      <c r="P30" s="176"/>
      <c r="Q30" s="176"/>
      <c r="R30" s="176"/>
      <c r="S30" s="176"/>
      <c r="T30" s="259"/>
      <c r="U30" s="7"/>
      <c r="V30" s="7"/>
    </row>
    <row r="31" spans="1:22" x14ac:dyDescent="0.2">
      <c r="A31" s="7"/>
      <c r="B31" s="17"/>
      <c r="C31" s="17"/>
      <c r="D31" s="17"/>
      <c r="E31" s="17"/>
      <c r="F31" s="17"/>
      <c r="G31" s="17"/>
      <c r="H31" s="17"/>
      <c r="I31" s="17"/>
      <c r="J31" s="17"/>
      <c r="K31" s="17"/>
      <c r="L31" s="17"/>
      <c r="M31" s="17"/>
      <c r="N31" s="17"/>
      <c r="O31" s="17"/>
      <c r="P31" s="17"/>
      <c r="Q31" s="17"/>
      <c r="R31" s="17"/>
      <c r="S31" s="17"/>
      <c r="T31" s="17"/>
      <c r="U31" s="7"/>
      <c r="V31" s="7"/>
    </row>
    <row r="32" spans="1:22" x14ac:dyDescent="0.2">
      <c r="A32" s="7"/>
      <c r="B32" s="252" t="s">
        <v>652</v>
      </c>
      <c r="C32" s="253"/>
      <c r="D32" s="253"/>
      <c r="E32" s="253"/>
      <c r="F32" s="253"/>
      <c r="G32" s="253"/>
      <c r="H32" s="253"/>
      <c r="I32" s="253"/>
      <c r="J32" s="253"/>
      <c r="K32" s="253"/>
      <c r="L32" s="253"/>
      <c r="M32" s="253"/>
      <c r="N32" s="253"/>
      <c r="O32" s="253"/>
      <c r="P32" s="253"/>
      <c r="Q32" s="253"/>
      <c r="R32" s="253"/>
      <c r="S32" s="253"/>
      <c r="T32" s="254"/>
      <c r="U32" s="7"/>
      <c r="V32" s="7"/>
    </row>
    <row r="33" spans="1:22" x14ac:dyDescent="0.2">
      <c r="A33" s="7"/>
      <c r="B33" s="17"/>
      <c r="C33" s="17"/>
      <c r="D33" s="17"/>
      <c r="E33" s="17"/>
      <c r="F33" s="17"/>
      <c r="G33" s="17"/>
      <c r="H33" s="17"/>
      <c r="I33" s="17"/>
      <c r="J33" s="17"/>
      <c r="K33" s="17"/>
      <c r="L33" s="17"/>
      <c r="M33" s="17"/>
      <c r="N33" s="17"/>
      <c r="O33" s="17"/>
      <c r="P33" s="17"/>
      <c r="Q33" s="17"/>
      <c r="R33" s="17"/>
      <c r="S33" s="17"/>
      <c r="T33" s="17"/>
      <c r="U33" s="7"/>
      <c r="V33" s="7"/>
    </row>
    <row r="34" spans="1:22" ht="16" x14ac:dyDescent="0.2">
      <c r="A34" s="7"/>
      <c r="B34" s="9" t="s">
        <v>653</v>
      </c>
      <c r="C34" s="214" t="s">
        <v>526</v>
      </c>
      <c r="D34" s="215"/>
      <c r="E34" s="215"/>
      <c r="F34" s="216"/>
      <c r="G34" s="214" t="s">
        <v>527</v>
      </c>
      <c r="H34" s="215"/>
      <c r="I34" s="215"/>
      <c r="J34" s="216"/>
      <c r="K34" s="214" t="s">
        <v>528</v>
      </c>
      <c r="L34" s="215"/>
      <c r="M34" s="215"/>
      <c r="N34" s="216"/>
      <c r="O34" s="214" t="s">
        <v>529</v>
      </c>
      <c r="P34" s="215"/>
      <c r="Q34" s="215"/>
      <c r="R34" s="216"/>
      <c r="S34" s="214" t="s">
        <v>530</v>
      </c>
      <c r="T34" s="215"/>
      <c r="U34" s="215"/>
      <c r="V34" s="215"/>
    </row>
    <row r="35" spans="1:22" s="7" customFormat="1" ht="16" x14ac:dyDescent="0.2">
      <c r="B35" s="81"/>
      <c r="C35" s="16" t="s">
        <v>532</v>
      </c>
      <c r="D35" s="16" t="s">
        <v>533</v>
      </c>
      <c r="E35" s="16" t="s">
        <v>534</v>
      </c>
      <c r="F35" s="16" t="s">
        <v>535</v>
      </c>
      <c r="G35" s="16" t="s">
        <v>532</v>
      </c>
      <c r="H35" s="16" t="s">
        <v>533</v>
      </c>
      <c r="I35" s="16" t="s">
        <v>534</v>
      </c>
      <c r="J35" s="16" t="s">
        <v>535</v>
      </c>
      <c r="K35" s="16" t="s">
        <v>532</v>
      </c>
      <c r="L35" s="16" t="s">
        <v>533</v>
      </c>
      <c r="M35" s="16" t="s">
        <v>534</v>
      </c>
      <c r="N35" s="16" t="s">
        <v>535</v>
      </c>
      <c r="O35" s="16" t="s">
        <v>532</v>
      </c>
      <c r="P35" s="16" t="s">
        <v>533</v>
      </c>
      <c r="Q35" s="16" t="s">
        <v>534</v>
      </c>
      <c r="R35" s="16" t="s">
        <v>535</v>
      </c>
      <c r="S35" s="16" t="s">
        <v>532</v>
      </c>
      <c r="T35" s="16" t="s">
        <v>533</v>
      </c>
      <c r="U35" s="16" t="s">
        <v>534</v>
      </c>
      <c r="V35" s="16" t="s">
        <v>535</v>
      </c>
    </row>
    <row r="36" spans="1:22" ht="22.5" customHeight="1" x14ac:dyDescent="0.2">
      <c r="A36" s="7"/>
      <c r="B36" s="61" t="s">
        <v>654</v>
      </c>
      <c r="C36" s="8" t="s">
        <v>655</v>
      </c>
      <c r="D36" s="260" t="s">
        <v>656</v>
      </c>
      <c r="E36" s="261"/>
      <c r="F36" s="262"/>
      <c r="G36" s="8"/>
      <c r="H36" s="263" t="s">
        <v>657</v>
      </c>
      <c r="I36" s="8"/>
      <c r="J36" s="8"/>
      <c r="K36" s="8"/>
      <c r="L36" s="8"/>
      <c r="M36" s="8"/>
      <c r="N36" s="8"/>
      <c r="O36" s="8"/>
      <c r="P36" s="8"/>
      <c r="Q36" s="8"/>
      <c r="R36" s="8"/>
      <c r="S36" s="8"/>
      <c r="T36" s="8"/>
      <c r="U36" s="61"/>
      <c r="V36" s="61"/>
    </row>
    <row r="37" spans="1:22" ht="16" x14ac:dyDescent="0.2">
      <c r="A37" s="7"/>
      <c r="B37" s="61" t="s">
        <v>612</v>
      </c>
      <c r="C37" s="8" t="s">
        <v>655</v>
      </c>
      <c r="D37" s="8" t="s">
        <v>658</v>
      </c>
      <c r="E37" s="260" t="s">
        <v>656</v>
      </c>
      <c r="F37" s="262"/>
      <c r="G37" s="8"/>
      <c r="H37" s="264"/>
      <c r="I37" s="8"/>
      <c r="J37" s="8"/>
      <c r="K37" s="8"/>
      <c r="L37" s="8"/>
      <c r="M37" s="8"/>
      <c r="N37" s="8"/>
      <c r="O37" s="8"/>
      <c r="P37" s="8"/>
      <c r="Q37" s="8"/>
      <c r="R37" s="8"/>
      <c r="S37" s="8"/>
      <c r="T37" s="8"/>
      <c r="U37" s="61"/>
      <c r="V37" s="61"/>
    </row>
    <row r="38" spans="1:22" ht="16" x14ac:dyDescent="0.2">
      <c r="A38" s="7"/>
      <c r="B38" s="61" t="s">
        <v>604</v>
      </c>
      <c r="C38" s="8" t="s">
        <v>659</v>
      </c>
      <c r="D38" s="8" t="s">
        <v>660</v>
      </c>
      <c r="E38" s="8"/>
      <c r="F38" s="8"/>
      <c r="G38" s="8"/>
      <c r="H38" s="264"/>
      <c r="I38" s="8"/>
      <c r="J38" s="8"/>
      <c r="K38" s="8"/>
      <c r="L38" s="8"/>
      <c r="M38" s="8"/>
      <c r="N38" s="8"/>
      <c r="O38" s="8"/>
      <c r="P38" s="8"/>
      <c r="Q38" s="8"/>
      <c r="R38" s="8"/>
      <c r="S38" s="8"/>
      <c r="T38" s="8"/>
      <c r="U38" s="61"/>
      <c r="V38" s="61"/>
    </row>
    <row r="39" spans="1:22" ht="16" x14ac:dyDescent="0.2">
      <c r="A39" s="7"/>
      <c r="B39" s="61" t="s">
        <v>619</v>
      </c>
      <c r="C39" s="8" t="s">
        <v>659</v>
      </c>
      <c r="D39" s="8" t="s">
        <v>660</v>
      </c>
      <c r="E39" s="8"/>
      <c r="F39" s="8"/>
      <c r="G39" s="8"/>
      <c r="H39" s="264"/>
      <c r="I39" s="8"/>
      <c r="J39" s="8"/>
      <c r="K39" s="8"/>
      <c r="L39" s="8"/>
      <c r="M39" s="8"/>
      <c r="N39" s="8"/>
      <c r="O39" s="8"/>
      <c r="P39" s="8"/>
      <c r="Q39" s="8"/>
      <c r="R39" s="8"/>
      <c r="S39" s="8"/>
      <c r="T39" s="8"/>
      <c r="U39" s="61"/>
      <c r="V39" s="61"/>
    </row>
    <row r="40" spans="1:22" s="7" customFormat="1" ht="18" customHeight="1" x14ac:dyDescent="0.2">
      <c r="B40" s="61" t="s">
        <v>621</v>
      </c>
      <c r="C40" s="8" t="s">
        <v>659</v>
      </c>
      <c r="D40" s="8" t="s">
        <v>661</v>
      </c>
      <c r="E40" s="8" t="s">
        <v>662</v>
      </c>
      <c r="F40" s="8"/>
      <c r="G40" s="8"/>
      <c r="H40" s="264"/>
      <c r="I40" s="8"/>
      <c r="J40" s="8"/>
      <c r="K40" s="8"/>
      <c r="L40" s="8"/>
      <c r="M40" s="8"/>
      <c r="N40" s="8"/>
      <c r="O40" s="8"/>
      <c r="P40" s="8"/>
      <c r="Q40" s="8"/>
      <c r="R40" s="8"/>
      <c r="S40" s="8"/>
      <c r="T40" s="8"/>
      <c r="U40" s="61"/>
      <c r="V40" s="61"/>
    </row>
    <row r="41" spans="1:22" s="7" customFormat="1" ht="16" x14ac:dyDescent="0.2">
      <c r="B41" s="61" t="s">
        <v>623</v>
      </c>
      <c r="C41" s="8"/>
      <c r="D41" s="8" t="s">
        <v>663</v>
      </c>
      <c r="E41" s="8" t="s">
        <v>660</v>
      </c>
      <c r="F41" s="8"/>
      <c r="G41" s="8"/>
      <c r="H41" s="264"/>
      <c r="I41" s="8"/>
      <c r="J41" s="8"/>
      <c r="K41" s="8"/>
      <c r="L41" s="8"/>
      <c r="M41" s="8"/>
      <c r="N41" s="8"/>
      <c r="O41" s="8"/>
      <c r="P41" s="8"/>
      <c r="Q41" s="8"/>
      <c r="R41" s="8"/>
      <c r="S41" s="8"/>
      <c r="T41" s="8"/>
      <c r="U41" s="61"/>
      <c r="V41" s="61"/>
    </row>
    <row r="42" spans="1:22" s="7" customFormat="1" ht="16" x14ac:dyDescent="0.2">
      <c r="B42" s="61" t="s">
        <v>625</v>
      </c>
      <c r="C42" s="8"/>
      <c r="D42" s="8" t="s">
        <v>663</v>
      </c>
      <c r="E42" s="8" t="s">
        <v>660</v>
      </c>
      <c r="F42" s="8"/>
      <c r="G42" s="8"/>
      <c r="H42" s="264"/>
      <c r="I42" s="8"/>
      <c r="J42" s="8"/>
      <c r="K42" s="8"/>
      <c r="L42" s="8"/>
      <c r="M42" s="8"/>
      <c r="N42" s="8"/>
      <c r="O42" s="8"/>
      <c r="P42" s="8"/>
      <c r="Q42" s="8"/>
      <c r="R42" s="8"/>
      <c r="S42" s="8"/>
      <c r="T42" s="8"/>
      <c r="U42" s="61"/>
      <c r="V42" s="61"/>
    </row>
    <row r="43" spans="1:22" s="7" customFormat="1" ht="16" x14ac:dyDescent="0.2">
      <c r="B43" s="61" t="s">
        <v>627</v>
      </c>
      <c r="C43" s="8"/>
      <c r="D43" s="8"/>
      <c r="E43" s="8" t="s">
        <v>663</v>
      </c>
      <c r="F43" s="8" t="s">
        <v>660</v>
      </c>
      <c r="G43" s="8"/>
      <c r="H43" s="264"/>
      <c r="I43" s="8"/>
      <c r="J43" s="8"/>
      <c r="K43" s="8"/>
      <c r="L43" s="8"/>
      <c r="M43" s="8"/>
      <c r="N43" s="8"/>
      <c r="O43" s="8"/>
      <c r="P43" s="8"/>
      <c r="Q43" s="8"/>
      <c r="R43" s="8"/>
      <c r="S43" s="8"/>
      <c r="T43" s="8"/>
      <c r="U43" s="61"/>
      <c r="V43" s="61"/>
    </row>
    <row r="44" spans="1:22" s="7" customFormat="1" ht="16" x14ac:dyDescent="0.2">
      <c r="B44" s="61" t="s">
        <v>629</v>
      </c>
      <c r="C44" s="8"/>
      <c r="D44" s="8"/>
      <c r="E44" s="8" t="s">
        <v>663</v>
      </c>
      <c r="F44" s="8" t="s">
        <v>660</v>
      </c>
      <c r="G44" s="8"/>
      <c r="H44" s="264"/>
      <c r="I44" s="8"/>
      <c r="J44" s="8"/>
      <c r="K44" s="8"/>
      <c r="L44" s="8"/>
      <c r="M44" s="8"/>
      <c r="N44" s="8"/>
      <c r="O44" s="8"/>
      <c r="P44" s="8"/>
      <c r="Q44" s="8"/>
      <c r="R44" s="8"/>
      <c r="S44" s="8"/>
      <c r="T44" s="8"/>
      <c r="U44" s="61"/>
      <c r="V44" s="61"/>
    </row>
    <row r="45" spans="1:22" s="7" customFormat="1" ht="16" x14ac:dyDescent="0.2">
      <c r="B45" s="61" t="s">
        <v>631</v>
      </c>
      <c r="C45" s="8"/>
      <c r="D45" s="8"/>
      <c r="E45" s="8" t="s">
        <v>663</v>
      </c>
      <c r="F45" s="8" t="s">
        <v>660</v>
      </c>
      <c r="H45" s="264"/>
      <c r="I45" s="8"/>
      <c r="J45" s="8"/>
      <c r="K45" s="8"/>
      <c r="L45" s="8"/>
      <c r="M45" s="8"/>
      <c r="N45" s="8"/>
      <c r="O45" s="8"/>
      <c r="P45" s="8"/>
      <c r="Q45" s="8"/>
      <c r="R45" s="8"/>
      <c r="S45" s="8"/>
      <c r="T45" s="8"/>
      <c r="U45" s="61"/>
      <c r="V45" s="61"/>
    </row>
    <row r="46" spans="1:22" s="7" customFormat="1" ht="16" x14ac:dyDescent="0.2">
      <c r="B46" s="61" t="s">
        <v>633</v>
      </c>
      <c r="C46" s="8"/>
      <c r="D46" s="8"/>
      <c r="E46" s="8" t="s">
        <v>659</v>
      </c>
      <c r="F46" s="8" t="s">
        <v>661</v>
      </c>
      <c r="G46" s="8" t="s">
        <v>664</v>
      </c>
      <c r="H46" s="264"/>
      <c r="I46" s="8"/>
      <c r="J46" s="8"/>
      <c r="K46" s="8"/>
      <c r="L46" s="8"/>
      <c r="M46" s="8"/>
      <c r="N46" s="8"/>
      <c r="O46" s="8"/>
      <c r="P46" s="8"/>
      <c r="Q46" s="8"/>
      <c r="R46" s="8"/>
      <c r="S46" s="8"/>
      <c r="T46" s="8"/>
      <c r="U46" s="61"/>
      <c r="V46" s="61"/>
    </row>
    <row r="47" spans="1:22" s="7" customFormat="1" ht="16" x14ac:dyDescent="0.2">
      <c r="B47" s="61" t="s">
        <v>635</v>
      </c>
      <c r="C47" s="8"/>
      <c r="D47" s="8"/>
      <c r="E47" s="8"/>
      <c r="F47" s="8" t="s">
        <v>663</v>
      </c>
      <c r="G47" s="8" t="s">
        <v>660</v>
      </c>
      <c r="H47" s="264"/>
      <c r="I47" s="8"/>
      <c r="J47" s="8"/>
      <c r="K47" s="8"/>
      <c r="L47" s="8"/>
      <c r="M47" s="8"/>
      <c r="N47" s="8"/>
      <c r="O47" s="8"/>
      <c r="P47" s="8"/>
      <c r="Q47" s="8"/>
      <c r="R47" s="8"/>
      <c r="S47" s="8"/>
      <c r="T47" s="8"/>
      <c r="U47" s="61"/>
      <c r="V47" s="61"/>
    </row>
    <row r="48" spans="1:22" s="7" customFormat="1" ht="16" x14ac:dyDescent="0.2">
      <c r="B48" s="61" t="s">
        <v>637</v>
      </c>
      <c r="C48" s="8" t="s">
        <v>663</v>
      </c>
      <c r="D48" s="8" t="s">
        <v>665</v>
      </c>
      <c r="E48" s="8" t="s">
        <v>660</v>
      </c>
      <c r="F48" s="8" t="s">
        <v>660</v>
      </c>
      <c r="G48" s="8"/>
      <c r="H48" s="264"/>
      <c r="I48" s="8"/>
      <c r="J48" s="8"/>
      <c r="K48" s="8"/>
      <c r="L48" s="8"/>
      <c r="M48" s="8"/>
      <c r="N48" s="8"/>
      <c r="O48" s="8"/>
      <c r="P48" s="8"/>
      <c r="Q48" s="8"/>
      <c r="R48" s="8"/>
      <c r="S48" s="8"/>
      <c r="T48" s="8"/>
      <c r="U48" s="61"/>
      <c r="V48" s="61"/>
    </row>
    <row r="49" spans="1:22" s="7" customFormat="1" ht="16" x14ac:dyDescent="0.2">
      <c r="B49" s="61" t="s">
        <v>641</v>
      </c>
      <c r="C49" s="8"/>
      <c r="D49" s="8" t="s">
        <v>663</v>
      </c>
      <c r="E49" s="8" t="s">
        <v>665</v>
      </c>
      <c r="F49" s="8" t="s">
        <v>660</v>
      </c>
      <c r="G49" s="8" t="s">
        <v>660</v>
      </c>
      <c r="H49" s="264"/>
      <c r="I49" s="8"/>
      <c r="J49" s="8"/>
      <c r="K49" s="8"/>
      <c r="L49" s="8"/>
      <c r="M49" s="8"/>
      <c r="N49" s="8"/>
      <c r="O49" s="8"/>
      <c r="P49" s="8"/>
      <c r="Q49" s="8"/>
      <c r="R49" s="8"/>
      <c r="S49" s="8"/>
      <c r="T49" s="8"/>
      <c r="U49" s="61"/>
      <c r="V49" s="61"/>
    </row>
    <row r="50" spans="1:22" s="7" customFormat="1" ht="16" x14ac:dyDescent="0.2">
      <c r="B50" s="61" t="s">
        <v>643</v>
      </c>
      <c r="C50" s="8"/>
      <c r="D50" s="8"/>
      <c r="E50" s="8" t="s">
        <v>663</v>
      </c>
      <c r="F50" s="8" t="s">
        <v>665</v>
      </c>
      <c r="G50" s="8" t="s">
        <v>660</v>
      </c>
      <c r="H50" s="264"/>
      <c r="I50" s="8"/>
      <c r="J50" s="8"/>
      <c r="K50" s="8"/>
      <c r="L50" s="8"/>
      <c r="M50" s="8"/>
      <c r="N50" s="8"/>
      <c r="O50" s="8"/>
      <c r="P50" s="8"/>
      <c r="Q50" s="8"/>
      <c r="R50" s="8"/>
      <c r="S50" s="8"/>
      <c r="T50" s="8"/>
      <c r="U50" s="61"/>
      <c r="V50" s="61"/>
    </row>
    <row r="51" spans="1:22" s="7" customFormat="1" ht="16" x14ac:dyDescent="0.2">
      <c r="B51" s="61" t="s">
        <v>645</v>
      </c>
      <c r="C51" s="8" t="s">
        <v>663</v>
      </c>
      <c r="D51" s="8" t="s">
        <v>665</v>
      </c>
      <c r="E51" s="8" t="s">
        <v>660</v>
      </c>
      <c r="F51" s="8" t="s">
        <v>660</v>
      </c>
      <c r="G51" s="8"/>
      <c r="H51" s="264"/>
      <c r="I51" s="8"/>
      <c r="J51" s="8"/>
      <c r="K51" s="8"/>
      <c r="L51" s="8"/>
      <c r="M51" s="8"/>
      <c r="N51" s="8"/>
      <c r="O51" s="8"/>
      <c r="P51" s="8"/>
      <c r="Q51" s="8"/>
      <c r="R51" s="8"/>
      <c r="S51" s="8"/>
      <c r="T51" s="8"/>
      <c r="U51" s="61"/>
      <c r="V51" s="61"/>
    </row>
    <row r="52" spans="1:22" s="7" customFormat="1" ht="16" x14ac:dyDescent="0.2">
      <c r="B52" s="61" t="s">
        <v>648</v>
      </c>
      <c r="C52" s="8"/>
      <c r="D52" s="8" t="s">
        <v>663</v>
      </c>
      <c r="E52" s="8" t="s">
        <v>665</v>
      </c>
      <c r="F52" s="8" t="s">
        <v>660</v>
      </c>
      <c r="G52" s="8"/>
      <c r="H52" s="265"/>
      <c r="I52" s="8"/>
      <c r="J52" s="8"/>
      <c r="K52" s="8"/>
      <c r="L52" s="8"/>
      <c r="M52" s="8"/>
      <c r="N52" s="8"/>
      <c r="O52" s="8"/>
      <c r="P52" s="8"/>
      <c r="Q52" s="8"/>
      <c r="R52" s="8"/>
      <c r="S52" s="8"/>
      <c r="T52" s="8"/>
      <c r="U52" s="61"/>
      <c r="V52" s="61"/>
    </row>
    <row r="53" spans="1:22" s="7" customFormat="1" x14ac:dyDescent="0.2">
      <c r="B53" s="14"/>
      <c r="C53" s="8"/>
      <c r="D53" s="8"/>
      <c r="E53" s="8"/>
      <c r="F53" s="8"/>
      <c r="G53" s="8"/>
      <c r="H53" s="8"/>
      <c r="I53" s="8"/>
      <c r="J53" s="8"/>
      <c r="K53" s="8"/>
      <c r="L53" s="8"/>
      <c r="M53" s="8"/>
      <c r="N53" s="8"/>
      <c r="O53" s="8"/>
      <c r="P53" s="8"/>
      <c r="Q53" s="8"/>
      <c r="R53" s="8"/>
      <c r="S53" s="8"/>
      <c r="T53" s="8"/>
      <c r="U53" s="61"/>
      <c r="V53" s="61"/>
    </row>
    <row r="54" spans="1:22" s="7" customFormat="1" x14ac:dyDescent="0.2">
      <c r="B54" s="14"/>
      <c r="C54" s="8"/>
      <c r="D54" s="8"/>
      <c r="E54" s="8"/>
      <c r="F54" s="8"/>
      <c r="G54" s="8"/>
      <c r="H54" s="8"/>
      <c r="I54" s="8"/>
      <c r="J54" s="8"/>
      <c r="K54" s="8"/>
      <c r="L54" s="8"/>
      <c r="M54" s="8"/>
      <c r="N54" s="8"/>
      <c r="O54" s="8"/>
      <c r="P54" s="8"/>
      <c r="Q54" s="8"/>
      <c r="R54" s="8"/>
      <c r="S54" s="8"/>
      <c r="T54" s="8"/>
      <c r="U54" s="61"/>
      <c r="V54" s="61"/>
    </row>
    <row r="55" spans="1:22" s="7" customFormat="1" x14ac:dyDescent="0.2">
      <c r="B55" s="14"/>
      <c r="C55" s="8"/>
      <c r="D55" s="8"/>
      <c r="E55" s="8"/>
      <c r="F55" s="8"/>
      <c r="G55" s="8"/>
      <c r="H55" s="8"/>
      <c r="I55" s="8"/>
      <c r="J55" s="8"/>
      <c r="K55" s="8"/>
      <c r="L55" s="8"/>
      <c r="M55" s="8"/>
      <c r="N55" s="8"/>
      <c r="O55" s="8"/>
      <c r="P55" s="8"/>
      <c r="Q55" s="8"/>
      <c r="R55" s="8"/>
      <c r="S55" s="8"/>
      <c r="T55" s="8"/>
      <c r="U55" s="61"/>
      <c r="V55" s="61"/>
    </row>
    <row r="56" spans="1:22" s="7" customFormat="1" x14ac:dyDescent="0.2">
      <c r="B56" s="14"/>
      <c r="C56" s="8"/>
      <c r="D56" s="8"/>
      <c r="E56" s="8"/>
      <c r="F56" s="8"/>
      <c r="G56" s="8"/>
      <c r="H56" s="8"/>
      <c r="I56" s="8"/>
      <c r="J56" s="8"/>
      <c r="K56" s="8"/>
      <c r="L56" s="8"/>
      <c r="M56" s="8"/>
      <c r="N56" s="8"/>
      <c r="O56" s="8"/>
      <c r="P56" s="8"/>
      <c r="Q56" s="8"/>
      <c r="R56" s="8"/>
      <c r="S56" s="8"/>
      <c r="T56" s="8"/>
      <c r="U56" s="61"/>
      <c r="V56" s="61"/>
    </row>
    <row r="57" spans="1:22" s="7" customFormat="1" x14ac:dyDescent="0.2">
      <c r="B57" s="14"/>
      <c r="C57" s="8"/>
      <c r="D57" s="8"/>
      <c r="E57" s="8"/>
      <c r="F57" s="8"/>
      <c r="G57" s="8"/>
      <c r="H57" s="8"/>
      <c r="I57" s="8"/>
      <c r="J57" s="8"/>
      <c r="K57" s="8"/>
      <c r="L57" s="8"/>
      <c r="M57" s="8"/>
      <c r="N57" s="8"/>
      <c r="O57" s="8"/>
      <c r="P57" s="8"/>
      <c r="Q57" s="8"/>
      <c r="R57" s="8"/>
      <c r="S57" s="8"/>
      <c r="T57" s="8"/>
      <c r="U57" s="61"/>
      <c r="V57" s="61"/>
    </row>
    <row r="58" spans="1:22" s="7" customFormat="1" x14ac:dyDescent="0.2">
      <c r="B58" s="14"/>
      <c r="C58" s="8"/>
      <c r="D58" s="8"/>
      <c r="E58" s="8"/>
      <c r="F58" s="8"/>
      <c r="G58" s="8"/>
      <c r="H58" s="8"/>
      <c r="I58" s="8"/>
      <c r="J58" s="8"/>
      <c r="K58" s="8"/>
      <c r="L58" s="8"/>
      <c r="M58" s="8"/>
      <c r="N58" s="8"/>
      <c r="O58" s="8"/>
      <c r="P58" s="8"/>
      <c r="Q58" s="8"/>
      <c r="R58" s="8"/>
      <c r="S58" s="8"/>
      <c r="T58" s="8"/>
      <c r="U58" s="61"/>
      <c r="V58" s="61"/>
    </row>
    <row r="59" spans="1:22" s="7" customFormat="1" x14ac:dyDescent="0.2">
      <c r="B59" s="14"/>
      <c r="C59" s="8"/>
      <c r="D59" s="8"/>
      <c r="E59" s="8"/>
      <c r="F59" s="8"/>
      <c r="G59" s="8"/>
      <c r="H59" s="8"/>
      <c r="I59" s="8"/>
      <c r="J59" s="8"/>
      <c r="K59" s="8"/>
      <c r="L59" s="8"/>
      <c r="M59" s="8"/>
      <c r="N59" s="8"/>
      <c r="O59" s="8"/>
      <c r="P59" s="8"/>
      <c r="Q59" s="8"/>
      <c r="R59" s="8"/>
      <c r="S59" s="8"/>
      <c r="T59" s="8"/>
      <c r="U59" s="61"/>
      <c r="V59" s="61"/>
    </row>
    <row r="60" spans="1:22" s="7" customFormat="1" x14ac:dyDescent="0.2">
      <c r="B60" s="14"/>
      <c r="C60" s="8"/>
      <c r="D60" s="8"/>
      <c r="E60" s="8"/>
      <c r="F60" s="8"/>
      <c r="G60" s="8"/>
      <c r="H60" s="8"/>
      <c r="I60" s="8"/>
      <c r="J60" s="8"/>
      <c r="K60" s="8"/>
      <c r="L60" s="8"/>
      <c r="M60" s="8"/>
      <c r="N60" s="8"/>
      <c r="O60" s="8"/>
      <c r="P60" s="8"/>
      <c r="Q60" s="8"/>
      <c r="R60" s="8"/>
      <c r="S60" s="8"/>
      <c r="T60" s="8"/>
      <c r="U60" s="61"/>
      <c r="V60" s="61"/>
    </row>
    <row r="61" spans="1:22" s="7" customFormat="1" x14ac:dyDescent="0.2">
      <c r="B61" s="14"/>
      <c r="C61" s="8"/>
      <c r="D61" s="8"/>
      <c r="E61" s="8"/>
      <c r="F61" s="8"/>
      <c r="G61" s="8"/>
      <c r="H61" s="8"/>
      <c r="I61" s="8"/>
      <c r="J61" s="8"/>
      <c r="K61" s="8"/>
      <c r="L61" s="8"/>
      <c r="M61" s="8"/>
      <c r="N61" s="8"/>
      <c r="O61" s="8"/>
      <c r="P61" s="8"/>
      <c r="Q61" s="8"/>
      <c r="R61" s="8"/>
      <c r="S61" s="8"/>
      <c r="T61" s="8"/>
      <c r="U61" s="61"/>
      <c r="V61" s="61"/>
    </row>
    <row r="62" spans="1:22" s="7" customFormat="1" x14ac:dyDescent="0.2">
      <c r="B62" s="14"/>
      <c r="C62" s="8"/>
      <c r="D62" s="8"/>
      <c r="E62" s="8"/>
      <c r="F62" s="8"/>
      <c r="G62" s="8"/>
      <c r="H62" s="8"/>
      <c r="I62" s="8"/>
      <c r="J62" s="8"/>
      <c r="K62" s="8"/>
      <c r="L62" s="8"/>
      <c r="M62" s="8"/>
      <c r="N62" s="8"/>
      <c r="O62" s="8"/>
      <c r="P62" s="8"/>
      <c r="Q62" s="8"/>
      <c r="R62" s="8"/>
      <c r="S62" s="8"/>
      <c r="T62" s="8"/>
      <c r="U62" s="61"/>
      <c r="V62" s="61"/>
    </row>
    <row r="63" spans="1:22" ht="16" x14ac:dyDescent="0.2">
      <c r="A63" s="7"/>
      <c r="B63" s="14" t="s">
        <v>650</v>
      </c>
      <c r="C63" s="8"/>
      <c r="D63" s="8"/>
      <c r="E63" s="8"/>
      <c r="F63" s="8"/>
      <c r="G63" s="8"/>
      <c r="H63" s="8"/>
      <c r="I63" s="8"/>
      <c r="J63" s="8"/>
      <c r="K63" s="8"/>
      <c r="L63" s="8"/>
      <c r="M63" s="8"/>
      <c r="N63" s="8"/>
      <c r="O63" s="8"/>
      <c r="P63" s="8"/>
      <c r="Q63" s="8"/>
      <c r="R63" s="8"/>
      <c r="S63" s="8"/>
      <c r="T63" s="8"/>
      <c r="U63" s="61"/>
      <c r="V63" s="61"/>
    </row>
    <row r="64" spans="1:22" ht="16" x14ac:dyDescent="0.2">
      <c r="A64" s="7"/>
      <c r="B64" s="14" t="s">
        <v>650</v>
      </c>
      <c r="C64" s="8"/>
      <c r="D64" s="8"/>
      <c r="E64" s="8"/>
      <c r="F64" s="8"/>
      <c r="G64" s="8"/>
      <c r="H64" s="8"/>
      <c r="I64" s="8"/>
      <c r="J64" s="8"/>
      <c r="K64" s="8"/>
      <c r="L64" s="8"/>
      <c r="M64" s="8"/>
      <c r="N64" s="8"/>
      <c r="O64" s="8"/>
      <c r="P64" s="8"/>
      <c r="Q64" s="8"/>
      <c r="R64" s="8"/>
      <c r="S64" s="8"/>
      <c r="T64" s="8"/>
      <c r="U64" s="61"/>
      <c r="V64" s="61"/>
    </row>
    <row r="65" spans="1:35" x14ac:dyDescent="0.2">
      <c r="A65" s="7"/>
      <c r="B65" s="7"/>
      <c r="C65" s="7"/>
      <c r="D65" s="7"/>
      <c r="E65" s="7"/>
      <c r="F65" s="7"/>
      <c r="G65" s="7"/>
      <c r="H65" s="7"/>
      <c r="I65" s="7"/>
      <c r="J65" s="7"/>
      <c r="K65" s="7"/>
      <c r="L65" s="7"/>
      <c r="M65" s="7"/>
      <c r="N65" s="7"/>
      <c r="O65" s="7"/>
      <c r="P65" s="7"/>
      <c r="Q65" s="7"/>
      <c r="R65" s="7"/>
      <c r="S65" s="7"/>
      <c r="T65" s="7"/>
      <c r="U65" s="7"/>
      <c r="V65" s="7"/>
      <c r="W65" s="7"/>
      <c r="X65" s="7"/>
      <c r="Y65" s="7"/>
      <c r="Z65" s="7"/>
      <c r="AA65" s="7"/>
      <c r="AB65" s="7"/>
      <c r="AC65" s="7"/>
      <c r="AD65" s="7"/>
      <c r="AE65" s="7"/>
      <c r="AF65" s="7"/>
      <c r="AG65" s="7"/>
      <c r="AH65" s="7"/>
      <c r="AI65" s="7"/>
    </row>
    <row r="66" spans="1:35" x14ac:dyDescent="0.2">
      <c r="A66" s="7"/>
      <c r="B66" s="7"/>
      <c r="C66" s="7"/>
      <c r="D66" s="7"/>
      <c r="E66" s="7"/>
      <c r="F66" s="7"/>
      <c r="G66" s="7"/>
      <c r="H66" s="7"/>
      <c r="I66" s="7"/>
      <c r="J66" s="7"/>
      <c r="K66" s="7"/>
      <c r="L66" s="7"/>
      <c r="M66" s="7"/>
      <c r="N66" s="7"/>
      <c r="O66" s="7"/>
      <c r="P66" s="7"/>
      <c r="Q66" s="7"/>
      <c r="R66" s="7"/>
      <c r="S66" s="7"/>
      <c r="T66" s="7"/>
      <c r="U66" s="7"/>
      <c r="V66" s="7"/>
      <c r="W66" s="7"/>
      <c r="X66" s="7"/>
      <c r="Y66" s="7"/>
      <c r="Z66" s="7"/>
      <c r="AA66" s="7"/>
      <c r="AB66" s="7"/>
      <c r="AC66" s="7"/>
      <c r="AD66" s="7"/>
      <c r="AE66" s="7"/>
      <c r="AF66" s="7"/>
      <c r="AG66" s="7"/>
      <c r="AH66" s="7"/>
      <c r="AI66" s="7"/>
    </row>
    <row r="67" spans="1:35" x14ac:dyDescent="0.2">
      <c r="A67" s="7"/>
      <c r="B67" s="205" t="s">
        <v>666</v>
      </c>
      <c r="C67" s="206"/>
      <c r="D67" s="206"/>
      <c r="E67" s="7"/>
      <c r="F67" s="7"/>
      <c r="G67" s="7"/>
      <c r="H67" s="7"/>
      <c r="I67" s="7"/>
      <c r="J67" s="7"/>
      <c r="K67" s="7"/>
      <c r="L67" s="7"/>
      <c r="M67" s="7"/>
      <c r="N67" s="7"/>
      <c r="O67" s="7"/>
      <c r="P67" s="7"/>
      <c r="Q67" s="7"/>
      <c r="R67" s="7"/>
      <c r="S67" s="7"/>
      <c r="T67" s="7"/>
      <c r="U67" s="7"/>
      <c r="V67" s="7"/>
      <c r="W67" s="7"/>
      <c r="X67" s="7"/>
      <c r="Y67" s="7"/>
      <c r="Z67" s="7"/>
      <c r="AA67" s="7"/>
      <c r="AB67" s="7"/>
      <c r="AC67" s="7"/>
      <c r="AD67" s="7"/>
      <c r="AE67" s="7"/>
      <c r="AF67" s="7"/>
      <c r="AG67" s="7"/>
      <c r="AH67" s="7"/>
      <c r="AI67" s="7"/>
    </row>
    <row r="68" spans="1:35" x14ac:dyDescent="0.2">
      <c r="A68" s="7"/>
      <c r="B68" s="56"/>
      <c r="C68" s="57"/>
      <c r="D68" s="17"/>
      <c r="E68" s="17"/>
      <c r="F68" s="11"/>
      <c r="G68" s="11"/>
      <c r="H68" s="11"/>
      <c r="I68" s="11"/>
      <c r="J68" s="11"/>
      <c r="K68" s="11"/>
      <c r="L68" s="11"/>
      <c r="M68" s="11"/>
      <c r="N68" s="11"/>
      <c r="O68" s="11"/>
      <c r="P68" s="11"/>
      <c r="Q68" s="11"/>
      <c r="R68" s="11"/>
      <c r="S68" s="11"/>
      <c r="T68" s="11"/>
      <c r="U68" s="7"/>
      <c r="V68" s="7"/>
      <c r="W68" s="7"/>
      <c r="X68" s="7"/>
      <c r="Y68" s="7"/>
      <c r="Z68" s="7"/>
      <c r="AA68" s="7"/>
      <c r="AB68" s="7"/>
      <c r="AC68" s="7"/>
      <c r="AD68" s="7"/>
      <c r="AE68" s="7"/>
      <c r="AF68" s="7"/>
      <c r="AG68" s="7"/>
      <c r="AH68" s="7"/>
      <c r="AI68" s="7"/>
    </row>
    <row r="69" spans="1:35" s="7" customFormat="1" x14ac:dyDescent="0.2">
      <c r="B69" s="250" t="s">
        <v>667</v>
      </c>
      <c r="C69" s="251"/>
      <c r="D69" s="251"/>
      <c r="E69" s="251"/>
      <c r="F69" s="251"/>
      <c r="G69" s="251"/>
      <c r="H69" s="251"/>
      <c r="I69" s="251"/>
      <c r="J69" s="251"/>
      <c r="K69" s="251"/>
      <c r="L69" s="251"/>
      <c r="M69" s="251"/>
      <c r="N69" s="251"/>
      <c r="O69" s="251"/>
      <c r="P69" s="23"/>
      <c r="Q69" s="23"/>
      <c r="R69" s="23"/>
      <c r="S69" s="23"/>
      <c r="T69" s="23"/>
    </row>
    <row r="70" spans="1:35" s="7" customFormat="1" x14ac:dyDescent="0.2">
      <c r="B70" s="112"/>
      <c r="C70" s="112"/>
      <c r="D70" s="112"/>
      <c r="E70" s="112"/>
      <c r="F70" s="112"/>
      <c r="G70" s="112"/>
      <c r="H70" s="112"/>
      <c r="I70" s="112"/>
      <c r="J70" s="112"/>
      <c r="K70" s="112"/>
      <c r="L70" s="112"/>
      <c r="M70" s="112"/>
      <c r="N70" s="112"/>
      <c r="O70" s="112"/>
      <c r="P70" s="23"/>
      <c r="Q70" s="23"/>
      <c r="R70" s="23"/>
      <c r="S70" s="23"/>
      <c r="T70" s="23"/>
    </row>
    <row r="71" spans="1:35" s="7" customFormat="1" x14ac:dyDescent="0.2">
      <c r="A71" s="106"/>
      <c r="B71" s="278" t="s">
        <v>668</v>
      </c>
      <c r="C71" s="266" t="s">
        <v>669</v>
      </c>
      <c r="D71" s="266" t="s">
        <v>670</v>
      </c>
      <c r="E71" s="284" t="s">
        <v>423</v>
      </c>
      <c r="F71" s="112"/>
      <c r="G71" s="112"/>
      <c r="H71" s="112"/>
      <c r="I71" s="112"/>
      <c r="J71" s="112"/>
      <c r="K71" s="112"/>
      <c r="L71" s="112"/>
      <c r="M71" s="112"/>
      <c r="N71" s="112"/>
      <c r="O71" s="112"/>
      <c r="P71" s="23"/>
      <c r="Q71" s="23"/>
      <c r="R71" s="23"/>
      <c r="S71" s="23"/>
      <c r="T71" s="23"/>
    </row>
    <row r="72" spans="1:35" s="7" customFormat="1" x14ac:dyDescent="0.2">
      <c r="A72" s="106"/>
      <c r="B72" s="279"/>
      <c r="C72" s="267"/>
      <c r="D72" s="267"/>
      <c r="E72" s="285"/>
      <c r="F72" s="112"/>
      <c r="G72" s="112"/>
      <c r="H72" s="112"/>
      <c r="I72" s="112"/>
      <c r="J72" s="112"/>
      <c r="K72" s="112"/>
      <c r="L72" s="112"/>
      <c r="M72" s="112"/>
      <c r="N72" s="112"/>
      <c r="O72" s="112"/>
      <c r="P72" s="23"/>
      <c r="Q72" s="23"/>
      <c r="R72" s="23"/>
      <c r="S72" s="23"/>
      <c r="T72" s="23"/>
    </row>
    <row r="73" spans="1:35" s="7" customFormat="1" x14ac:dyDescent="0.2">
      <c r="A73" s="106"/>
      <c r="B73" s="286" t="s">
        <v>671</v>
      </c>
      <c r="C73" s="268" t="s">
        <v>672</v>
      </c>
      <c r="D73" s="270" t="s">
        <v>673</v>
      </c>
      <c r="E73" s="280" t="s">
        <v>674</v>
      </c>
      <c r="F73" s="112"/>
      <c r="G73" s="112"/>
      <c r="H73" s="112"/>
      <c r="I73" s="112"/>
      <c r="J73" s="112"/>
      <c r="K73" s="112"/>
      <c r="L73" s="112"/>
      <c r="M73" s="112"/>
      <c r="N73" s="112"/>
      <c r="O73" s="112"/>
      <c r="P73" s="23"/>
      <c r="Q73" s="23"/>
      <c r="R73" s="23"/>
      <c r="S73" s="23"/>
      <c r="T73" s="23"/>
    </row>
    <row r="74" spans="1:35" s="7" customFormat="1" x14ac:dyDescent="0.2">
      <c r="A74" s="106"/>
      <c r="B74" s="286"/>
      <c r="C74" s="269"/>
      <c r="D74" s="271"/>
      <c r="E74" s="281"/>
      <c r="F74" s="112"/>
      <c r="G74" s="112"/>
      <c r="H74" s="112"/>
      <c r="I74" s="112"/>
      <c r="J74" s="112"/>
      <c r="K74" s="112"/>
      <c r="L74" s="112"/>
      <c r="M74" s="112"/>
      <c r="N74" s="112"/>
      <c r="O74" s="112"/>
      <c r="P74" s="23"/>
      <c r="Q74" s="23"/>
      <c r="R74" s="23"/>
      <c r="S74" s="23"/>
      <c r="T74" s="23"/>
    </row>
    <row r="75" spans="1:35" s="7" customFormat="1" x14ac:dyDescent="0.2">
      <c r="A75" s="106"/>
      <c r="B75" s="286"/>
      <c r="C75" s="268" t="s">
        <v>675</v>
      </c>
      <c r="D75" s="272" t="s">
        <v>676</v>
      </c>
      <c r="E75" s="282" t="s">
        <v>677</v>
      </c>
      <c r="F75" s="112"/>
      <c r="I75" s="112"/>
      <c r="J75" s="112"/>
      <c r="K75" s="112"/>
      <c r="L75" s="112"/>
      <c r="M75" s="112"/>
      <c r="N75" s="112"/>
      <c r="O75" s="112"/>
      <c r="P75" s="23"/>
      <c r="Q75" s="23"/>
      <c r="R75" s="23"/>
      <c r="S75" s="23"/>
      <c r="T75" s="23"/>
    </row>
    <row r="76" spans="1:35" s="7" customFormat="1" x14ac:dyDescent="0.2">
      <c r="A76" s="106"/>
      <c r="B76" s="286"/>
      <c r="C76" s="269"/>
      <c r="D76" s="273"/>
      <c r="E76" s="283"/>
      <c r="F76" s="112"/>
      <c r="I76" s="112"/>
      <c r="J76" s="112"/>
      <c r="K76" s="112"/>
      <c r="L76" s="112"/>
      <c r="M76" s="112"/>
      <c r="N76" s="112"/>
      <c r="O76" s="112"/>
      <c r="P76" s="23"/>
      <c r="Q76" s="23"/>
      <c r="R76" s="23"/>
      <c r="S76" s="23"/>
      <c r="T76" s="23"/>
    </row>
    <row r="77" spans="1:35" s="7" customFormat="1" x14ac:dyDescent="0.2">
      <c r="A77" s="106"/>
      <c r="B77" s="286"/>
      <c r="C77" s="268" t="s">
        <v>678</v>
      </c>
      <c r="D77" s="270" t="s">
        <v>673</v>
      </c>
      <c r="E77" s="280" t="s">
        <v>676</v>
      </c>
      <c r="F77" s="112"/>
      <c r="I77" s="112"/>
      <c r="J77" s="112"/>
      <c r="K77" s="112"/>
      <c r="L77" s="112"/>
      <c r="M77" s="112"/>
      <c r="N77" s="112"/>
      <c r="O77" s="112"/>
      <c r="P77" s="23"/>
      <c r="Q77" s="23"/>
      <c r="R77" s="23"/>
      <c r="S77" s="23"/>
      <c r="T77" s="23"/>
    </row>
    <row r="78" spans="1:35" s="7" customFormat="1" x14ac:dyDescent="0.2">
      <c r="A78" s="106"/>
      <c r="B78" s="286"/>
      <c r="C78" s="269"/>
      <c r="D78" s="271"/>
      <c r="E78" s="281"/>
      <c r="F78" s="112"/>
      <c r="I78" s="112"/>
      <c r="J78" s="112"/>
      <c r="K78" s="112"/>
      <c r="L78" s="112"/>
      <c r="M78" s="112"/>
      <c r="N78" s="112"/>
      <c r="O78" s="112"/>
      <c r="P78" s="23"/>
      <c r="Q78" s="23"/>
      <c r="R78" s="23"/>
      <c r="S78" s="23"/>
      <c r="T78" s="23"/>
    </row>
    <row r="79" spans="1:35" s="7" customFormat="1" x14ac:dyDescent="0.2">
      <c r="A79" s="106"/>
      <c r="B79" s="286"/>
      <c r="C79" s="268" t="s">
        <v>679</v>
      </c>
      <c r="D79" s="270" t="s">
        <v>673</v>
      </c>
      <c r="E79" s="280" t="s">
        <v>676</v>
      </c>
      <c r="F79" s="112"/>
      <c r="I79" s="112"/>
      <c r="J79" s="112"/>
      <c r="K79" s="112"/>
      <c r="L79" s="112"/>
      <c r="M79" s="112"/>
      <c r="N79" s="112"/>
      <c r="O79" s="112"/>
      <c r="P79" s="23"/>
      <c r="Q79" s="23"/>
      <c r="R79" s="23"/>
      <c r="S79" s="23"/>
      <c r="T79" s="23"/>
    </row>
    <row r="80" spans="1:35" s="7" customFormat="1" x14ac:dyDescent="0.2">
      <c r="A80" s="106"/>
      <c r="B80" s="287"/>
      <c r="C80" s="269"/>
      <c r="D80" s="271"/>
      <c r="E80" s="281"/>
      <c r="F80" s="112"/>
      <c r="I80" s="112"/>
      <c r="J80" s="112"/>
      <c r="K80" s="112"/>
      <c r="L80" s="112"/>
      <c r="M80" s="112"/>
      <c r="N80" s="112"/>
      <c r="O80" s="112"/>
      <c r="P80" s="23"/>
      <c r="Q80" s="23"/>
      <c r="R80" s="23"/>
      <c r="S80" s="23"/>
      <c r="T80" s="23"/>
    </row>
    <row r="81" spans="1:20" s="7" customFormat="1" x14ac:dyDescent="0.2">
      <c r="A81" s="106"/>
      <c r="B81" s="286" t="s">
        <v>680</v>
      </c>
      <c r="C81" s="268" t="s">
        <v>681</v>
      </c>
      <c r="D81" s="270" t="s">
        <v>673</v>
      </c>
      <c r="E81" s="280" t="s">
        <v>676</v>
      </c>
      <c r="F81" s="112"/>
      <c r="G81" s="112"/>
      <c r="H81" s="112"/>
      <c r="I81" s="112"/>
      <c r="J81" s="112"/>
      <c r="K81" s="112"/>
      <c r="L81" s="112"/>
      <c r="M81" s="112"/>
      <c r="N81" s="112"/>
      <c r="O81" s="112"/>
      <c r="P81" s="23"/>
      <c r="Q81" s="23"/>
      <c r="R81" s="23"/>
      <c r="S81" s="23"/>
      <c r="T81" s="23"/>
    </row>
    <row r="82" spans="1:20" s="7" customFormat="1" x14ac:dyDescent="0.2">
      <c r="A82" s="106"/>
      <c r="B82" s="286"/>
      <c r="C82" s="269"/>
      <c r="D82" s="271"/>
      <c r="E82" s="281"/>
      <c r="F82" s="112"/>
      <c r="G82" s="112"/>
      <c r="H82" s="112"/>
      <c r="I82" s="112"/>
      <c r="J82" s="112"/>
      <c r="K82" s="112"/>
      <c r="L82" s="112"/>
      <c r="M82" s="112"/>
      <c r="N82" s="112"/>
      <c r="O82" s="112"/>
      <c r="P82" s="23"/>
      <c r="Q82" s="23"/>
      <c r="R82" s="23"/>
      <c r="S82" s="23"/>
      <c r="T82" s="23"/>
    </row>
    <row r="83" spans="1:20" s="7" customFormat="1" x14ac:dyDescent="0.2">
      <c r="A83" s="106"/>
      <c r="B83" s="286"/>
      <c r="C83" s="268" t="s">
        <v>682</v>
      </c>
      <c r="D83" s="272" t="s">
        <v>676</v>
      </c>
      <c r="E83" s="282" t="s">
        <v>673</v>
      </c>
      <c r="F83" s="112"/>
      <c r="G83" s="112"/>
      <c r="H83" s="112"/>
      <c r="I83" s="112"/>
      <c r="J83" s="112"/>
      <c r="K83" s="112"/>
      <c r="L83" s="112"/>
      <c r="M83" s="112"/>
      <c r="N83" s="112"/>
      <c r="O83" s="112"/>
      <c r="P83" s="23"/>
      <c r="Q83" s="23"/>
      <c r="R83" s="23"/>
      <c r="S83" s="23"/>
      <c r="T83" s="23"/>
    </row>
    <row r="84" spans="1:20" s="7" customFormat="1" x14ac:dyDescent="0.2">
      <c r="A84" s="106"/>
      <c r="B84" s="286"/>
      <c r="C84" s="269"/>
      <c r="D84" s="273"/>
      <c r="E84" s="283"/>
      <c r="F84" s="112"/>
      <c r="G84" s="112"/>
      <c r="H84" s="112"/>
      <c r="I84" s="112"/>
      <c r="J84" s="112"/>
      <c r="K84" s="112"/>
      <c r="L84" s="112"/>
      <c r="M84" s="112"/>
      <c r="N84" s="112"/>
      <c r="O84" s="112"/>
      <c r="P84" s="23"/>
      <c r="Q84" s="23"/>
      <c r="R84" s="23"/>
      <c r="S84" s="23"/>
      <c r="T84" s="23"/>
    </row>
    <row r="85" spans="1:20" s="7" customFormat="1" x14ac:dyDescent="0.2">
      <c r="A85" s="106"/>
      <c r="B85" s="286"/>
      <c r="C85" s="268" t="s">
        <v>683</v>
      </c>
      <c r="D85" s="270" t="s">
        <v>673</v>
      </c>
      <c r="E85" s="280" t="s">
        <v>676</v>
      </c>
      <c r="F85" s="112"/>
      <c r="G85" s="112"/>
      <c r="H85" s="112"/>
      <c r="I85" s="112"/>
      <c r="J85" s="112"/>
      <c r="K85" s="112"/>
      <c r="L85" s="112"/>
      <c r="M85" s="112"/>
      <c r="N85" s="112"/>
      <c r="O85" s="112"/>
      <c r="P85" s="23"/>
      <c r="Q85" s="23"/>
      <c r="R85" s="23"/>
      <c r="S85" s="23"/>
      <c r="T85" s="23"/>
    </row>
    <row r="86" spans="1:20" s="7" customFormat="1" x14ac:dyDescent="0.2">
      <c r="A86" s="106"/>
      <c r="B86" s="286"/>
      <c r="C86" s="269"/>
      <c r="D86" s="271"/>
      <c r="E86" s="281"/>
      <c r="F86" s="112"/>
      <c r="G86" s="112"/>
      <c r="H86" s="112"/>
      <c r="I86" s="112"/>
      <c r="J86" s="112"/>
      <c r="K86" s="112"/>
      <c r="L86" s="112"/>
      <c r="M86" s="112"/>
      <c r="N86" s="112"/>
      <c r="O86" s="112"/>
      <c r="P86" s="23"/>
      <c r="Q86" s="23"/>
      <c r="R86" s="23"/>
      <c r="S86" s="23"/>
      <c r="T86" s="23"/>
    </row>
    <row r="87" spans="1:20" s="7" customFormat="1" x14ac:dyDescent="0.2">
      <c r="A87" s="106"/>
      <c r="B87" s="286"/>
      <c r="C87" s="268" t="s">
        <v>684</v>
      </c>
      <c r="D87" s="270" t="s">
        <v>673</v>
      </c>
      <c r="E87" s="280" t="s">
        <v>676</v>
      </c>
      <c r="F87" s="112"/>
      <c r="G87" s="112"/>
      <c r="H87" s="112"/>
      <c r="I87" s="112"/>
      <c r="J87" s="112"/>
      <c r="K87" s="112"/>
      <c r="L87" s="112"/>
      <c r="M87" s="112"/>
      <c r="N87" s="112"/>
      <c r="O87" s="112"/>
      <c r="P87" s="23"/>
      <c r="Q87" s="23"/>
      <c r="R87" s="23"/>
      <c r="S87" s="23"/>
      <c r="T87" s="23"/>
    </row>
    <row r="88" spans="1:20" s="7" customFormat="1" x14ac:dyDescent="0.2">
      <c r="A88" s="106"/>
      <c r="B88" s="286"/>
      <c r="C88" s="269"/>
      <c r="D88" s="271"/>
      <c r="E88" s="281"/>
      <c r="F88" s="112"/>
      <c r="G88" s="112"/>
      <c r="H88" s="112"/>
      <c r="I88" s="112"/>
      <c r="J88" s="112"/>
      <c r="K88" s="112"/>
      <c r="L88" s="112"/>
      <c r="M88" s="112"/>
      <c r="N88" s="112"/>
      <c r="O88" s="112"/>
      <c r="P88" s="23"/>
      <c r="Q88" s="23"/>
      <c r="R88" s="23"/>
      <c r="S88" s="23"/>
      <c r="T88" s="23"/>
    </row>
    <row r="89" spans="1:20" s="7" customFormat="1" x14ac:dyDescent="0.2">
      <c r="A89" s="106"/>
      <c r="B89" s="286"/>
      <c r="C89" s="268" t="s">
        <v>685</v>
      </c>
      <c r="D89" s="272" t="s">
        <v>676</v>
      </c>
      <c r="E89" s="282" t="s">
        <v>673</v>
      </c>
      <c r="F89" s="112"/>
      <c r="G89" s="112"/>
      <c r="H89" s="112"/>
      <c r="I89" s="112"/>
      <c r="J89" s="112"/>
      <c r="K89" s="112"/>
      <c r="L89" s="112"/>
      <c r="M89" s="112"/>
      <c r="N89" s="112"/>
      <c r="O89" s="112"/>
      <c r="P89" s="23"/>
      <c r="Q89" s="23"/>
      <c r="R89" s="23"/>
      <c r="S89" s="23"/>
      <c r="T89" s="23"/>
    </row>
    <row r="90" spans="1:20" s="7" customFormat="1" x14ac:dyDescent="0.2">
      <c r="A90" s="106"/>
      <c r="B90" s="287"/>
      <c r="C90" s="269"/>
      <c r="D90" s="273"/>
      <c r="E90" s="283"/>
      <c r="F90" s="112"/>
      <c r="G90" s="112"/>
      <c r="H90" s="112"/>
      <c r="I90" s="112"/>
      <c r="J90" s="112"/>
      <c r="K90" s="112"/>
      <c r="L90" s="112"/>
      <c r="M90" s="112"/>
      <c r="N90" s="112"/>
      <c r="O90" s="112"/>
      <c r="P90" s="23"/>
      <c r="Q90" s="23"/>
      <c r="R90" s="23"/>
      <c r="S90" s="23"/>
      <c r="T90" s="23"/>
    </row>
    <row r="91" spans="1:20" s="7" customFormat="1" x14ac:dyDescent="0.2">
      <c r="A91" s="106"/>
      <c r="B91" s="274" t="s">
        <v>686</v>
      </c>
      <c r="C91" s="268" t="s">
        <v>687</v>
      </c>
      <c r="D91" s="272" t="s">
        <v>676</v>
      </c>
      <c r="E91" s="282" t="s">
        <v>673</v>
      </c>
      <c r="F91" s="112"/>
      <c r="G91" s="112"/>
      <c r="H91" s="112"/>
      <c r="I91" s="112"/>
      <c r="J91" s="112"/>
      <c r="K91" s="112"/>
      <c r="L91" s="112"/>
      <c r="M91" s="112"/>
      <c r="N91" s="112"/>
      <c r="O91" s="112"/>
      <c r="P91" s="23"/>
      <c r="Q91" s="23"/>
      <c r="R91" s="23"/>
      <c r="S91" s="23"/>
      <c r="T91" s="23"/>
    </row>
    <row r="92" spans="1:20" s="7" customFormat="1" x14ac:dyDescent="0.2">
      <c r="A92" s="106"/>
      <c r="B92" s="274"/>
      <c r="C92" s="269"/>
      <c r="D92" s="273"/>
      <c r="E92" s="283"/>
      <c r="F92" s="112"/>
      <c r="G92" s="112"/>
      <c r="H92" s="112"/>
      <c r="I92" s="112"/>
      <c r="J92" s="112"/>
      <c r="K92" s="112"/>
      <c r="L92" s="112"/>
      <c r="M92" s="112"/>
      <c r="N92" s="112"/>
      <c r="O92" s="112"/>
      <c r="P92" s="23"/>
      <c r="Q92" s="23"/>
      <c r="R92" s="23"/>
      <c r="S92" s="23"/>
      <c r="T92" s="23"/>
    </row>
    <row r="93" spans="1:20" s="7" customFormat="1" x14ac:dyDescent="0.2">
      <c r="A93" s="106"/>
      <c r="B93" s="274"/>
      <c r="C93" s="268" t="s">
        <v>688</v>
      </c>
      <c r="D93" s="272" t="s">
        <v>676</v>
      </c>
      <c r="E93" s="282" t="s">
        <v>673</v>
      </c>
      <c r="F93" s="112"/>
      <c r="G93" s="112"/>
      <c r="H93" s="112"/>
      <c r="I93" s="112"/>
      <c r="J93" s="112"/>
      <c r="K93" s="112"/>
      <c r="L93" s="112"/>
      <c r="M93" s="112"/>
      <c r="N93" s="112"/>
      <c r="O93" s="112"/>
      <c r="P93" s="23"/>
      <c r="Q93" s="23"/>
      <c r="R93" s="23"/>
      <c r="S93" s="23"/>
      <c r="T93" s="23"/>
    </row>
    <row r="94" spans="1:20" s="7" customFormat="1" x14ac:dyDescent="0.2">
      <c r="A94" s="106"/>
      <c r="B94" s="274"/>
      <c r="C94" s="269"/>
      <c r="D94" s="273"/>
      <c r="E94" s="283"/>
      <c r="F94" s="112"/>
      <c r="G94" s="112"/>
      <c r="H94" s="112"/>
      <c r="I94" s="112"/>
      <c r="J94" s="112"/>
      <c r="K94" s="112"/>
      <c r="L94" s="112"/>
      <c r="M94" s="112"/>
      <c r="N94" s="112"/>
      <c r="O94" s="112"/>
      <c r="P94" s="23"/>
      <c r="Q94" s="23"/>
      <c r="R94" s="23"/>
      <c r="S94" s="23"/>
      <c r="T94" s="23"/>
    </row>
    <row r="95" spans="1:20" s="7" customFormat="1" x14ac:dyDescent="0.2">
      <c r="A95" s="106"/>
      <c r="B95" s="274"/>
      <c r="C95" s="268" t="s">
        <v>689</v>
      </c>
      <c r="D95" s="270" t="s">
        <v>673</v>
      </c>
      <c r="E95" s="280" t="s">
        <v>676</v>
      </c>
      <c r="F95" s="112"/>
      <c r="G95" s="112"/>
      <c r="H95" s="112"/>
      <c r="I95" s="112"/>
      <c r="J95" s="112"/>
      <c r="K95" s="112"/>
      <c r="L95" s="112"/>
      <c r="M95" s="112"/>
      <c r="N95" s="112"/>
      <c r="O95" s="112"/>
      <c r="P95" s="23"/>
      <c r="Q95" s="23"/>
      <c r="R95" s="23"/>
      <c r="S95" s="23"/>
      <c r="T95" s="23"/>
    </row>
    <row r="96" spans="1:20" s="7" customFormat="1" x14ac:dyDescent="0.2">
      <c r="A96" s="106"/>
      <c r="B96" s="274"/>
      <c r="C96" s="269"/>
      <c r="D96" s="271"/>
      <c r="E96" s="281"/>
      <c r="F96" s="112"/>
      <c r="G96" s="112"/>
      <c r="H96" s="112"/>
      <c r="I96" s="112"/>
      <c r="J96" s="112"/>
      <c r="K96" s="112"/>
      <c r="L96" s="112"/>
      <c r="M96" s="112"/>
      <c r="N96" s="112"/>
      <c r="O96" s="112"/>
      <c r="P96" s="23"/>
      <c r="Q96" s="23"/>
      <c r="R96" s="23"/>
      <c r="S96" s="23"/>
      <c r="T96" s="23"/>
    </row>
    <row r="97" spans="1:20" s="7" customFormat="1" x14ac:dyDescent="0.2">
      <c r="A97" s="106"/>
      <c r="B97" s="274"/>
      <c r="C97" s="268" t="s">
        <v>690</v>
      </c>
      <c r="D97" s="270" t="s">
        <v>673</v>
      </c>
      <c r="E97" s="280" t="s">
        <v>676</v>
      </c>
      <c r="F97" s="112"/>
      <c r="G97" s="112"/>
      <c r="H97" s="112"/>
      <c r="I97" s="112"/>
      <c r="J97" s="112"/>
      <c r="K97" s="112"/>
      <c r="L97" s="112"/>
      <c r="M97" s="112"/>
      <c r="N97" s="112"/>
      <c r="O97" s="112"/>
      <c r="P97" s="23"/>
      <c r="Q97" s="23"/>
      <c r="R97" s="23"/>
      <c r="S97" s="23"/>
      <c r="T97" s="23"/>
    </row>
    <row r="98" spans="1:20" s="7" customFormat="1" x14ac:dyDescent="0.2">
      <c r="A98" s="106"/>
      <c r="B98" s="274"/>
      <c r="C98" s="269"/>
      <c r="D98" s="271"/>
      <c r="E98" s="281"/>
      <c r="F98" s="112"/>
      <c r="G98" s="112"/>
      <c r="H98" s="112"/>
      <c r="I98" s="112"/>
      <c r="J98" s="112"/>
      <c r="K98" s="112"/>
      <c r="L98" s="112"/>
      <c r="M98" s="112"/>
      <c r="N98" s="112"/>
      <c r="O98" s="112"/>
      <c r="P98" s="23"/>
      <c r="Q98" s="23"/>
      <c r="R98" s="23"/>
      <c r="S98" s="23"/>
      <c r="T98" s="23"/>
    </row>
    <row r="99" spans="1:20" s="7" customFormat="1" x14ac:dyDescent="0.2">
      <c r="A99" s="106"/>
      <c r="B99" s="274"/>
      <c r="C99" s="268" t="s">
        <v>691</v>
      </c>
      <c r="D99" s="272" t="s">
        <v>676</v>
      </c>
      <c r="E99" s="282" t="s">
        <v>673</v>
      </c>
      <c r="F99" s="112"/>
      <c r="G99" s="112"/>
      <c r="H99" s="112"/>
      <c r="I99" s="112"/>
      <c r="J99" s="112"/>
      <c r="K99" s="112"/>
      <c r="L99" s="112"/>
      <c r="M99" s="112"/>
      <c r="N99" s="112"/>
      <c r="O99" s="112"/>
      <c r="P99" s="23"/>
      <c r="Q99" s="23"/>
      <c r="R99" s="23"/>
      <c r="S99" s="23"/>
      <c r="T99" s="23"/>
    </row>
    <row r="100" spans="1:20" s="7" customFormat="1" x14ac:dyDescent="0.2">
      <c r="A100" s="106"/>
      <c r="B100" s="275"/>
      <c r="C100" s="269"/>
      <c r="D100" s="273"/>
      <c r="E100" s="283"/>
      <c r="F100" s="112"/>
      <c r="G100" s="112"/>
      <c r="H100" s="112"/>
      <c r="I100" s="112"/>
      <c r="J100" s="112"/>
      <c r="K100" s="112"/>
      <c r="L100" s="112"/>
      <c r="M100" s="112"/>
      <c r="N100" s="112"/>
      <c r="O100" s="112"/>
      <c r="P100" s="23"/>
      <c r="Q100" s="23"/>
      <c r="R100" s="23"/>
      <c r="S100" s="23"/>
      <c r="T100" s="23"/>
    </row>
    <row r="101" spans="1:20" s="7" customFormat="1" x14ac:dyDescent="0.2">
      <c r="A101" s="106"/>
      <c r="B101" s="274" t="s">
        <v>692</v>
      </c>
      <c r="C101" s="268" t="s">
        <v>693</v>
      </c>
      <c r="D101" s="270" t="s">
        <v>673</v>
      </c>
      <c r="E101" s="280" t="s">
        <v>676</v>
      </c>
      <c r="F101" s="112"/>
      <c r="G101" s="112"/>
      <c r="H101" s="112"/>
      <c r="I101" s="112"/>
      <c r="J101" s="112"/>
      <c r="K101" s="112"/>
      <c r="L101" s="112"/>
      <c r="M101" s="112"/>
      <c r="N101" s="112"/>
      <c r="O101" s="112"/>
      <c r="P101" s="23"/>
      <c r="Q101" s="23"/>
      <c r="R101" s="23"/>
      <c r="S101" s="23"/>
      <c r="T101" s="23"/>
    </row>
    <row r="102" spans="1:20" s="7" customFormat="1" x14ac:dyDescent="0.2">
      <c r="A102" s="106"/>
      <c r="B102" s="274"/>
      <c r="C102" s="269"/>
      <c r="D102" s="271"/>
      <c r="E102" s="281"/>
      <c r="F102" s="112"/>
      <c r="G102" s="112"/>
      <c r="H102" s="112"/>
      <c r="I102" s="112"/>
      <c r="J102" s="112"/>
      <c r="K102" s="112"/>
      <c r="L102" s="112"/>
      <c r="M102" s="112"/>
      <c r="N102" s="112"/>
      <c r="O102" s="112"/>
      <c r="P102" s="23"/>
      <c r="Q102" s="23"/>
      <c r="R102" s="23"/>
      <c r="S102" s="23"/>
      <c r="T102" s="23"/>
    </row>
    <row r="103" spans="1:20" s="7" customFormat="1" x14ac:dyDescent="0.2">
      <c r="A103" s="106"/>
      <c r="B103" s="274"/>
      <c r="C103" s="268" t="s">
        <v>694</v>
      </c>
      <c r="D103" s="270" t="s">
        <v>673</v>
      </c>
      <c r="E103" s="280" t="s">
        <v>676</v>
      </c>
      <c r="F103" s="112"/>
      <c r="G103" s="112"/>
      <c r="H103" s="112"/>
      <c r="I103" s="112"/>
      <c r="J103" s="112"/>
      <c r="K103" s="112"/>
      <c r="L103" s="112"/>
      <c r="M103" s="112"/>
      <c r="N103" s="112"/>
      <c r="O103" s="112"/>
      <c r="P103" s="23"/>
      <c r="Q103" s="23"/>
      <c r="R103" s="23"/>
      <c r="S103" s="23"/>
      <c r="T103" s="23"/>
    </row>
    <row r="104" spans="1:20" s="7" customFormat="1" x14ac:dyDescent="0.2">
      <c r="A104" s="106"/>
      <c r="B104" s="274"/>
      <c r="C104" s="269"/>
      <c r="D104" s="271"/>
      <c r="E104" s="281"/>
      <c r="F104" s="112"/>
      <c r="G104" s="112"/>
      <c r="H104" s="112"/>
      <c r="I104" s="112"/>
      <c r="J104" s="112"/>
      <c r="K104" s="112"/>
      <c r="L104" s="112"/>
      <c r="M104" s="112"/>
      <c r="N104" s="112"/>
      <c r="O104" s="112"/>
      <c r="P104" s="23"/>
      <c r="Q104" s="23"/>
      <c r="R104" s="23"/>
      <c r="S104" s="23"/>
      <c r="T104" s="23"/>
    </row>
    <row r="105" spans="1:20" s="7" customFormat="1" x14ac:dyDescent="0.2">
      <c r="A105" s="106"/>
      <c r="B105" s="274"/>
      <c r="C105" s="268" t="s">
        <v>695</v>
      </c>
      <c r="D105" s="272" t="s">
        <v>676</v>
      </c>
      <c r="E105" s="282" t="s">
        <v>696</v>
      </c>
      <c r="F105" s="112"/>
      <c r="G105" s="112"/>
      <c r="H105" s="112"/>
      <c r="I105" s="112"/>
      <c r="J105" s="112"/>
      <c r="K105" s="112"/>
      <c r="L105" s="112"/>
      <c r="M105" s="112"/>
      <c r="N105" s="112"/>
      <c r="O105" s="112"/>
      <c r="P105" s="23"/>
      <c r="Q105" s="23"/>
      <c r="R105" s="23"/>
      <c r="S105" s="23"/>
      <c r="T105" s="23"/>
    </row>
    <row r="106" spans="1:20" s="7" customFormat="1" x14ac:dyDescent="0.2">
      <c r="A106" s="106"/>
      <c r="B106" s="274"/>
      <c r="C106" s="269"/>
      <c r="D106" s="273"/>
      <c r="E106" s="283"/>
      <c r="F106" s="112"/>
      <c r="G106" s="112"/>
      <c r="H106" s="112"/>
      <c r="I106" s="112"/>
      <c r="J106" s="112"/>
      <c r="K106" s="112"/>
      <c r="L106" s="112"/>
      <c r="M106" s="112"/>
      <c r="N106" s="112"/>
      <c r="O106" s="112"/>
      <c r="P106" s="23"/>
      <c r="Q106" s="23"/>
      <c r="R106" s="23"/>
      <c r="S106" s="23"/>
      <c r="T106" s="23"/>
    </row>
    <row r="107" spans="1:20" s="7" customFormat="1" x14ac:dyDescent="0.2">
      <c r="A107" s="106"/>
      <c r="B107" s="274"/>
      <c r="C107" s="268" t="s">
        <v>697</v>
      </c>
      <c r="D107" s="270" t="s">
        <v>698</v>
      </c>
      <c r="E107" s="280" t="s">
        <v>676</v>
      </c>
      <c r="F107" s="112"/>
      <c r="G107" s="112"/>
      <c r="H107" s="112"/>
      <c r="I107" s="112"/>
      <c r="J107" s="112"/>
      <c r="K107" s="112"/>
      <c r="L107" s="112"/>
      <c r="M107" s="112"/>
      <c r="N107" s="112"/>
      <c r="O107" s="112"/>
      <c r="P107" s="23"/>
      <c r="Q107" s="23"/>
      <c r="R107" s="23"/>
      <c r="S107" s="23"/>
      <c r="T107" s="23"/>
    </row>
    <row r="108" spans="1:20" s="7" customFormat="1" x14ac:dyDescent="0.2">
      <c r="A108" s="106"/>
      <c r="B108" s="274"/>
      <c r="C108" s="269"/>
      <c r="D108" s="271"/>
      <c r="E108" s="281"/>
      <c r="F108" s="112"/>
      <c r="G108" s="112"/>
      <c r="H108" s="112"/>
      <c r="I108" s="112"/>
      <c r="J108" s="112"/>
      <c r="K108" s="112"/>
      <c r="L108" s="112"/>
      <c r="M108" s="112"/>
      <c r="N108" s="112"/>
      <c r="O108" s="112"/>
      <c r="P108" s="23"/>
      <c r="Q108" s="23"/>
      <c r="R108" s="23"/>
      <c r="S108" s="23"/>
      <c r="T108" s="23"/>
    </row>
    <row r="109" spans="1:20" s="7" customFormat="1" x14ac:dyDescent="0.2">
      <c r="A109" s="106"/>
      <c r="B109" s="274"/>
      <c r="C109" s="268" t="s">
        <v>699</v>
      </c>
      <c r="D109" s="270" t="s">
        <v>698</v>
      </c>
      <c r="E109" s="280" t="s">
        <v>676</v>
      </c>
      <c r="F109" s="112"/>
      <c r="G109" s="112"/>
      <c r="H109" s="112"/>
      <c r="I109" s="112"/>
      <c r="J109" s="112"/>
      <c r="K109" s="112"/>
      <c r="L109" s="112"/>
      <c r="M109" s="112"/>
      <c r="N109" s="112"/>
      <c r="O109" s="112"/>
      <c r="P109" s="23"/>
      <c r="Q109" s="23"/>
      <c r="R109" s="23"/>
      <c r="S109" s="23"/>
      <c r="T109" s="23"/>
    </row>
    <row r="110" spans="1:20" s="7" customFormat="1" x14ac:dyDescent="0.2">
      <c r="A110" s="106"/>
      <c r="B110" s="274"/>
      <c r="C110" s="269"/>
      <c r="D110" s="271"/>
      <c r="E110" s="281"/>
      <c r="F110" s="112"/>
      <c r="G110" s="112"/>
      <c r="H110" s="112"/>
      <c r="I110" s="112"/>
      <c r="J110" s="112"/>
      <c r="K110" s="112"/>
      <c r="L110" s="112"/>
      <c r="M110" s="112"/>
      <c r="N110" s="112"/>
      <c r="O110" s="112"/>
      <c r="P110" s="23"/>
      <c r="Q110" s="23"/>
      <c r="R110" s="23"/>
      <c r="S110" s="23"/>
      <c r="T110" s="23"/>
    </row>
    <row r="111" spans="1:20" s="7" customFormat="1" x14ac:dyDescent="0.2">
      <c r="A111" s="106"/>
      <c r="B111" s="274"/>
      <c r="C111" s="268" t="s">
        <v>700</v>
      </c>
      <c r="D111" s="270" t="s">
        <v>673</v>
      </c>
      <c r="E111" s="282" t="s">
        <v>673</v>
      </c>
      <c r="F111" s="112"/>
      <c r="G111" s="112"/>
      <c r="H111" s="112"/>
      <c r="I111" s="112"/>
      <c r="J111" s="112"/>
      <c r="K111" s="112"/>
      <c r="L111" s="112"/>
      <c r="M111" s="112"/>
      <c r="N111" s="112"/>
      <c r="O111" s="112"/>
      <c r="P111" s="23"/>
      <c r="Q111" s="23"/>
      <c r="R111" s="23"/>
      <c r="S111" s="23"/>
      <c r="T111" s="23"/>
    </row>
    <row r="112" spans="1:20" s="7" customFormat="1" x14ac:dyDescent="0.2">
      <c r="A112" s="106"/>
      <c r="B112" s="274"/>
      <c r="C112" s="269"/>
      <c r="D112" s="271"/>
      <c r="E112" s="283"/>
      <c r="F112" s="112"/>
      <c r="G112" s="112"/>
      <c r="H112" s="112"/>
      <c r="I112" s="112"/>
      <c r="J112" s="112"/>
      <c r="K112" s="112"/>
      <c r="L112" s="112"/>
      <c r="M112" s="112"/>
      <c r="N112" s="112"/>
      <c r="O112" s="112"/>
      <c r="P112" s="23"/>
      <c r="Q112" s="23"/>
      <c r="R112" s="23"/>
      <c r="S112" s="23"/>
      <c r="T112" s="23"/>
    </row>
    <row r="113" spans="1:20" s="7" customFormat="1" x14ac:dyDescent="0.2">
      <c r="A113" s="106"/>
      <c r="B113" s="274"/>
      <c r="C113" s="268" t="s">
        <v>701</v>
      </c>
      <c r="D113" s="270" t="s">
        <v>698</v>
      </c>
      <c r="E113" s="280" t="s">
        <v>676</v>
      </c>
      <c r="F113" s="112"/>
      <c r="G113" s="112"/>
      <c r="H113" s="112"/>
      <c r="I113" s="112"/>
      <c r="J113" s="112"/>
      <c r="K113" s="112"/>
      <c r="L113" s="112"/>
      <c r="M113" s="112"/>
      <c r="N113" s="112"/>
      <c r="O113" s="112"/>
      <c r="P113" s="23"/>
      <c r="Q113" s="23"/>
      <c r="R113" s="23"/>
      <c r="S113" s="23"/>
      <c r="T113" s="23"/>
    </row>
    <row r="114" spans="1:20" s="7" customFormat="1" x14ac:dyDescent="0.2">
      <c r="A114" s="106"/>
      <c r="B114" s="275"/>
      <c r="C114" s="269"/>
      <c r="D114" s="271"/>
      <c r="E114" s="281"/>
      <c r="F114" s="112"/>
      <c r="G114" s="112"/>
      <c r="H114" s="112"/>
      <c r="I114" s="112"/>
      <c r="J114" s="112"/>
      <c r="K114" s="112"/>
      <c r="L114" s="112"/>
      <c r="M114" s="112"/>
      <c r="N114" s="112"/>
      <c r="O114" s="112"/>
      <c r="P114" s="23"/>
      <c r="Q114" s="23"/>
      <c r="R114" s="23"/>
      <c r="S114" s="23"/>
      <c r="T114" s="23"/>
    </row>
    <row r="115" spans="1:20" s="7" customFormat="1" x14ac:dyDescent="0.2">
      <c r="A115" s="106"/>
      <c r="B115" s="286" t="s">
        <v>702</v>
      </c>
      <c r="C115" s="268" t="s">
        <v>703</v>
      </c>
      <c r="D115" s="270" t="s">
        <v>696</v>
      </c>
      <c r="E115" s="280" t="s">
        <v>676</v>
      </c>
      <c r="F115" s="112"/>
      <c r="G115" s="112"/>
      <c r="H115" s="112"/>
      <c r="I115" s="112"/>
      <c r="J115" s="112"/>
      <c r="K115" s="112"/>
      <c r="L115" s="112"/>
      <c r="M115" s="112"/>
      <c r="N115" s="112"/>
      <c r="O115" s="112"/>
      <c r="P115" s="23"/>
      <c r="Q115" s="23"/>
      <c r="R115" s="23"/>
      <c r="S115" s="23"/>
      <c r="T115" s="23"/>
    </row>
    <row r="116" spans="1:20" s="7" customFormat="1" x14ac:dyDescent="0.2">
      <c r="A116" s="106"/>
      <c r="B116" s="286"/>
      <c r="C116" s="269"/>
      <c r="D116" s="271"/>
      <c r="E116" s="281"/>
      <c r="F116" s="112"/>
      <c r="G116" s="112"/>
      <c r="H116" s="112"/>
      <c r="I116" s="112"/>
      <c r="J116" s="112"/>
      <c r="K116" s="112"/>
      <c r="L116" s="112"/>
      <c r="M116" s="112"/>
      <c r="N116" s="112"/>
      <c r="O116" s="112"/>
      <c r="P116" s="23"/>
      <c r="Q116" s="23"/>
      <c r="R116" s="23"/>
      <c r="S116" s="23"/>
      <c r="T116" s="23"/>
    </row>
    <row r="117" spans="1:20" s="7" customFormat="1" x14ac:dyDescent="0.2">
      <c r="A117" s="106"/>
      <c r="B117" s="286"/>
      <c r="C117" s="268" t="s">
        <v>704</v>
      </c>
      <c r="D117" s="270" t="s">
        <v>696</v>
      </c>
      <c r="E117" s="280" t="s">
        <v>676</v>
      </c>
      <c r="F117" s="112"/>
      <c r="G117" s="112"/>
      <c r="H117" s="112"/>
      <c r="I117" s="112"/>
      <c r="J117" s="112"/>
      <c r="K117" s="112"/>
      <c r="L117" s="112"/>
      <c r="M117" s="112"/>
      <c r="N117" s="112"/>
      <c r="O117" s="112"/>
      <c r="P117" s="23"/>
      <c r="Q117" s="23"/>
      <c r="R117" s="23"/>
      <c r="S117" s="23"/>
      <c r="T117" s="23"/>
    </row>
    <row r="118" spans="1:20" s="7" customFormat="1" x14ac:dyDescent="0.2">
      <c r="A118" s="106"/>
      <c r="B118" s="286"/>
      <c r="C118" s="269"/>
      <c r="D118" s="271"/>
      <c r="E118" s="281"/>
      <c r="F118" s="112"/>
      <c r="G118" s="112"/>
      <c r="H118" s="112"/>
      <c r="I118" s="112"/>
      <c r="J118" s="112"/>
      <c r="K118" s="112"/>
      <c r="L118" s="112"/>
      <c r="M118" s="112"/>
      <c r="N118" s="112"/>
      <c r="O118" s="112"/>
      <c r="P118" s="23"/>
      <c r="Q118" s="23"/>
      <c r="R118" s="23"/>
      <c r="S118" s="23"/>
      <c r="T118" s="23"/>
    </row>
    <row r="119" spans="1:20" s="7" customFormat="1" x14ac:dyDescent="0.2">
      <c r="A119" s="106"/>
      <c r="B119" s="286"/>
      <c r="C119" s="268" t="s">
        <v>705</v>
      </c>
      <c r="D119" s="270" t="s">
        <v>673</v>
      </c>
      <c r="E119" s="280" t="s">
        <v>676</v>
      </c>
      <c r="F119" s="112"/>
      <c r="G119" s="112"/>
      <c r="H119" s="112"/>
      <c r="I119" s="112"/>
      <c r="J119" s="112"/>
      <c r="K119" s="112"/>
      <c r="L119" s="112"/>
      <c r="M119" s="112"/>
      <c r="N119" s="112"/>
      <c r="O119" s="112"/>
      <c r="P119" s="23"/>
      <c r="Q119" s="23"/>
      <c r="R119" s="23"/>
      <c r="S119" s="23"/>
      <c r="T119" s="23"/>
    </row>
    <row r="120" spans="1:20" s="7" customFormat="1" x14ac:dyDescent="0.2">
      <c r="A120" s="106"/>
      <c r="B120" s="286"/>
      <c r="C120" s="269"/>
      <c r="D120" s="271"/>
      <c r="E120" s="281"/>
      <c r="F120" s="112"/>
      <c r="G120" s="112"/>
      <c r="H120" s="112"/>
      <c r="I120" s="112"/>
      <c r="J120" s="112"/>
      <c r="K120" s="112"/>
      <c r="L120" s="112"/>
      <c r="M120" s="112"/>
      <c r="N120" s="112"/>
      <c r="O120" s="112"/>
      <c r="P120" s="23"/>
      <c r="Q120" s="23"/>
      <c r="R120" s="23"/>
      <c r="S120" s="23"/>
      <c r="T120" s="23"/>
    </row>
    <row r="121" spans="1:20" s="7" customFormat="1" x14ac:dyDescent="0.2">
      <c r="A121" s="106"/>
      <c r="B121" s="286"/>
      <c r="C121" s="268" t="s">
        <v>706</v>
      </c>
      <c r="D121" s="272" t="s">
        <v>676</v>
      </c>
      <c r="E121" s="282" t="s">
        <v>696</v>
      </c>
      <c r="F121" s="112"/>
      <c r="G121" s="112"/>
      <c r="H121" s="112"/>
      <c r="I121" s="112"/>
      <c r="J121" s="112"/>
      <c r="K121" s="112"/>
      <c r="L121" s="112"/>
      <c r="M121" s="112"/>
      <c r="N121" s="112"/>
      <c r="O121" s="112"/>
      <c r="P121" s="23"/>
      <c r="Q121" s="23"/>
      <c r="R121" s="23"/>
      <c r="S121" s="23"/>
      <c r="T121" s="23"/>
    </row>
    <row r="122" spans="1:20" s="7" customFormat="1" x14ac:dyDescent="0.2">
      <c r="A122" s="106"/>
      <c r="B122" s="286"/>
      <c r="C122" s="269"/>
      <c r="D122" s="273"/>
      <c r="E122" s="283"/>
      <c r="F122" s="112"/>
      <c r="G122" s="112"/>
      <c r="H122" s="112"/>
      <c r="I122" s="112"/>
      <c r="J122" s="112"/>
      <c r="K122" s="112"/>
      <c r="L122" s="112"/>
      <c r="M122" s="112"/>
      <c r="N122" s="112"/>
      <c r="O122" s="112"/>
      <c r="P122" s="23"/>
      <c r="Q122" s="23"/>
      <c r="R122" s="23"/>
      <c r="S122" s="23"/>
      <c r="T122" s="23"/>
    </row>
    <row r="123" spans="1:20" s="7" customFormat="1" x14ac:dyDescent="0.2">
      <c r="A123" s="106"/>
      <c r="B123" s="286"/>
      <c r="C123" s="268" t="s">
        <v>707</v>
      </c>
      <c r="D123" s="270" t="s">
        <v>673</v>
      </c>
      <c r="E123" s="280" t="s">
        <v>676</v>
      </c>
      <c r="F123" s="112"/>
      <c r="G123" s="112"/>
      <c r="H123" s="112"/>
      <c r="I123" s="112"/>
      <c r="J123" s="112"/>
      <c r="K123" s="112"/>
      <c r="L123" s="112"/>
      <c r="M123" s="112"/>
      <c r="N123" s="112"/>
      <c r="O123" s="112"/>
      <c r="P123" s="23"/>
      <c r="Q123" s="23"/>
      <c r="R123" s="23"/>
      <c r="S123" s="23"/>
      <c r="T123" s="23"/>
    </row>
    <row r="124" spans="1:20" s="7" customFormat="1" x14ac:dyDescent="0.2">
      <c r="A124" s="106"/>
      <c r="B124" s="286"/>
      <c r="C124" s="269"/>
      <c r="D124" s="271"/>
      <c r="E124" s="281"/>
      <c r="F124" s="112"/>
      <c r="G124" s="112"/>
      <c r="H124" s="112"/>
      <c r="I124" s="112"/>
      <c r="J124" s="112"/>
      <c r="K124" s="112"/>
      <c r="L124" s="112"/>
      <c r="M124" s="112"/>
      <c r="N124" s="112"/>
      <c r="O124" s="112"/>
      <c r="P124" s="23"/>
      <c r="Q124" s="23"/>
      <c r="R124" s="23"/>
      <c r="S124" s="23"/>
      <c r="T124" s="23"/>
    </row>
    <row r="125" spans="1:20" s="7" customFormat="1" x14ac:dyDescent="0.2">
      <c r="A125" s="106"/>
      <c r="B125" s="286"/>
      <c r="C125" s="268" t="s">
        <v>708</v>
      </c>
      <c r="D125" s="270" t="s">
        <v>709</v>
      </c>
      <c r="E125" s="280" t="s">
        <v>676</v>
      </c>
      <c r="F125" s="112"/>
      <c r="G125" s="112"/>
      <c r="H125" s="112"/>
      <c r="I125" s="112"/>
      <c r="J125" s="112"/>
      <c r="K125" s="112"/>
      <c r="L125" s="112"/>
      <c r="M125" s="112"/>
      <c r="N125" s="112"/>
      <c r="O125" s="112"/>
      <c r="P125" s="23"/>
      <c r="Q125" s="23"/>
      <c r="R125" s="23"/>
      <c r="S125" s="23"/>
      <c r="T125" s="23"/>
    </row>
    <row r="126" spans="1:20" s="7" customFormat="1" x14ac:dyDescent="0.2">
      <c r="A126" s="106"/>
      <c r="B126" s="287"/>
      <c r="C126" s="269"/>
      <c r="D126" s="271"/>
      <c r="E126" s="281"/>
      <c r="F126" s="112"/>
      <c r="G126" s="112"/>
      <c r="H126" s="112"/>
      <c r="I126" s="112"/>
      <c r="J126" s="112"/>
      <c r="K126" s="112"/>
      <c r="L126" s="112"/>
      <c r="M126" s="112"/>
      <c r="N126" s="112"/>
      <c r="O126" s="112"/>
      <c r="P126" s="23"/>
      <c r="Q126" s="23"/>
      <c r="R126" s="23"/>
      <c r="S126" s="23"/>
      <c r="T126" s="23"/>
    </row>
    <row r="127" spans="1:20" s="7" customFormat="1" x14ac:dyDescent="0.2">
      <c r="A127" s="106"/>
      <c r="B127" s="288" t="s">
        <v>710</v>
      </c>
      <c r="C127" s="276" t="s">
        <v>711</v>
      </c>
      <c r="D127" s="270" t="s">
        <v>709</v>
      </c>
      <c r="E127" s="280" t="s">
        <v>676</v>
      </c>
      <c r="F127" s="112"/>
      <c r="G127" s="112"/>
      <c r="H127" s="112"/>
      <c r="I127" s="112"/>
      <c r="J127" s="112"/>
      <c r="K127" s="112"/>
      <c r="L127" s="112"/>
      <c r="M127" s="112"/>
      <c r="N127" s="112"/>
      <c r="O127" s="112"/>
      <c r="P127" s="23"/>
      <c r="Q127" s="23"/>
      <c r="R127" s="23"/>
      <c r="S127" s="23"/>
      <c r="T127" s="23"/>
    </row>
    <row r="128" spans="1:20" s="7" customFormat="1" x14ac:dyDescent="0.2">
      <c r="A128" s="106"/>
      <c r="B128" s="288"/>
      <c r="C128" s="277"/>
      <c r="D128" s="271"/>
      <c r="E128" s="281"/>
      <c r="F128" s="112"/>
      <c r="G128" s="112"/>
      <c r="H128" s="112"/>
      <c r="I128" s="112"/>
      <c r="J128" s="112"/>
      <c r="K128" s="112"/>
      <c r="L128" s="112"/>
      <c r="M128" s="112"/>
      <c r="N128" s="112"/>
      <c r="O128" s="112"/>
      <c r="P128" s="23"/>
      <c r="Q128" s="23"/>
      <c r="R128" s="23"/>
      <c r="S128" s="23"/>
      <c r="T128" s="23"/>
    </row>
    <row r="129" spans="1:20" s="7" customFormat="1" x14ac:dyDescent="0.2">
      <c r="A129" s="106"/>
      <c r="B129" s="288"/>
      <c r="C129" s="276" t="s">
        <v>712</v>
      </c>
      <c r="D129" s="270" t="s">
        <v>673</v>
      </c>
      <c r="E129" s="280" t="s">
        <v>676</v>
      </c>
      <c r="F129" s="112"/>
      <c r="G129" s="112"/>
      <c r="H129" s="112"/>
      <c r="I129" s="112"/>
      <c r="J129" s="112"/>
      <c r="K129" s="112"/>
      <c r="L129" s="112"/>
      <c r="M129" s="112"/>
      <c r="N129" s="112"/>
      <c r="O129" s="112"/>
      <c r="P129" s="23"/>
      <c r="Q129" s="23"/>
      <c r="R129" s="23"/>
      <c r="S129" s="23"/>
      <c r="T129" s="23"/>
    </row>
    <row r="130" spans="1:20" s="7" customFormat="1" x14ac:dyDescent="0.2">
      <c r="A130" s="106"/>
      <c r="B130" s="288"/>
      <c r="C130" s="277"/>
      <c r="D130" s="271"/>
      <c r="E130" s="281"/>
      <c r="F130" s="112"/>
      <c r="G130" s="112"/>
      <c r="H130" s="112"/>
      <c r="I130" s="112"/>
      <c r="J130" s="112"/>
      <c r="K130" s="112"/>
      <c r="L130" s="112"/>
      <c r="M130" s="112"/>
      <c r="N130" s="112"/>
      <c r="O130" s="112"/>
      <c r="P130" s="23"/>
      <c r="Q130" s="23"/>
      <c r="R130" s="23"/>
      <c r="S130" s="23"/>
      <c r="T130" s="23"/>
    </row>
    <row r="131" spans="1:20" s="7" customFormat="1" x14ac:dyDescent="0.2">
      <c r="A131" s="106"/>
      <c r="B131" s="288"/>
      <c r="C131" s="276" t="s">
        <v>713</v>
      </c>
      <c r="D131" s="270" t="s">
        <v>673</v>
      </c>
      <c r="E131" s="280" t="s">
        <v>676</v>
      </c>
      <c r="F131" s="112"/>
      <c r="G131" s="112"/>
      <c r="H131" s="112"/>
      <c r="I131" s="112"/>
      <c r="J131" s="112"/>
      <c r="K131" s="112"/>
      <c r="L131" s="112"/>
      <c r="M131" s="112"/>
      <c r="N131" s="112"/>
      <c r="O131" s="112"/>
      <c r="P131" s="23"/>
      <c r="Q131" s="23"/>
      <c r="R131" s="23"/>
      <c r="S131" s="23"/>
      <c r="T131" s="23"/>
    </row>
    <row r="132" spans="1:20" s="7" customFormat="1" x14ac:dyDescent="0.2">
      <c r="A132" s="106"/>
      <c r="B132" s="288"/>
      <c r="C132" s="277"/>
      <c r="D132" s="271"/>
      <c r="E132" s="281"/>
      <c r="F132" s="112"/>
      <c r="G132" s="112"/>
      <c r="H132" s="112"/>
      <c r="I132" s="112"/>
      <c r="J132" s="112"/>
      <c r="K132" s="112"/>
      <c r="L132" s="112"/>
      <c r="M132" s="112"/>
      <c r="N132" s="112"/>
      <c r="O132" s="112"/>
      <c r="P132" s="23"/>
      <c r="Q132" s="23"/>
      <c r="R132" s="23"/>
      <c r="S132" s="23"/>
      <c r="T132" s="23"/>
    </row>
    <row r="133" spans="1:20" s="7" customFormat="1" x14ac:dyDescent="0.2">
      <c r="A133" s="106"/>
      <c r="B133" s="288"/>
      <c r="C133" s="276" t="s">
        <v>714</v>
      </c>
      <c r="D133" s="270" t="s">
        <v>673</v>
      </c>
      <c r="E133" s="280" t="s">
        <v>676</v>
      </c>
      <c r="F133" s="112"/>
      <c r="G133" s="112"/>
      <c r="H133" s="112"/>
      <c r="I133" s="112"/>
      <c r="J133" s="112"/>
      <c r="K133" s="112"/>
      <c r="L133" s="112"/>
      <c r="M133" s="112"/>
      <c r="N133" s="112"/>
      <c r="O133" s="112"/>
      <c r="P133" s="23"/>
      <c r="Q133" s="23"/>
      <c r="R133" s="23"/>
      <c r="S133" s="23"/>
      <c r="T133" s="23"/>
    </row>
    <row r="134" spans="1:20" s="7" customFormat="1" x14ac:dyDescent="0.2">
      <c r="A134" s="106"/>
      <c r="B134" s="288"/>
      <c r="C134" s="277"/>
      <c r="D134" s="271"/>
      <c r="E134" s="281"/>
      <c r="F134" s="112"/>
      <c r="G134" s="112"/>
      <c r="H134" s="112"/>
      <c r="I134" s="112"/>
      <c r="J134" s="112"/>
      <c r="K134" s="112"/>
      <c r="L134" s="112"/>
      <c r="M134" s="112"/>
      <c r="N134" s="112"/>
      <c r="O134" s="112"/>
      <c r="P134" s="23"/>
      <c r="Q134" s="23"/>
      <c r="R134" s="23"/>
      <c r="S134" s="23"/>
      <c r="T134" s="23"/>
    </row>
    <row r="135" spans="1:20" s="7" customFormat="1" x14ac:dyDescent="0.2">
      <c r="A135" s="106"/>
      <c r="B135" s="288"/>
      <c r="C135" s="292" t="s">
        <v>715</v>
      </c>
      <c r="D135" s="294" t="s">
        <v>709</v>
      </c>
      <c r="E135" s="290" t="s">
        <v>676</v>
      </c>
      <c r="F135" s="112"/>
      <c r="G135" s="112"/>
      <c r="H135" s="112"/>
      <c r="I135" s="112"/>
      <c r="J135" s="112"/>
      <c r="K135" s="112"/>
      <c r="L135" s="112"/>
      <c r="M135" s="112"/>
      <c r="N135" s="112"/>
      <c r="O135" s="112"/>
      <c r="P135" s="23"/>
      <c r="Q135" s="23"/>
      <c r="R135" s="23"/>
      <c r="S135" s="23"/>
      <c r="T135" s="23"/>
    </row>
    <row r="136" spans="1:20" s="7" customFormat="1" x14ac:dyDescent="0.2">
      <c r="A136" s="106"/>
      <c r="B136" s="289"/>
      <c r="C136" s="293"/>
      <c r="D136" s="295"/>
      <c r="E136" s="291"/>
      <c r="F136" s="112"/>
      <c r="G136" s="112"/>
      <c r="H136" s="112"/>
      <c r="I136" s="112"/>
      <c r="J136" s="112"/>
      <c r="K136" s="112"/>
      <c r="L136" s="112"/>
      <c r="M136" s="112"/>
      <c r="N136" s="112"/>
      <c r="O136" s="112"/>
      <c r="P136" s="23"/>
      <c r="Q136" s="23"/>
      <c r="R136" s="23"/>
      <c r="S136" s="23"/>
      <c r="T136" s="23"/>
    </row>
    <row r="137" spans="1:20" s="7" customFormat="1" x14ac:dyDescent="0.2">
      <c r="A137" s="106"/>
      <c r="B137" s="118"/>
      <c r="C137" s="114"/>
      <c r="D137" s="115"/>
      <c r="E137" s="119"/>
      <c r="F137" s="112"/>
      <c r="G137" s="112"/>
      <c r="H137" s="112"/>
      <c r="I137" s="112"/>
      <c r="J137" s="112"/>
      <c r="K137" s="112"/>
      <c r="L137" s="112"/>
      <c r="M137" s="112"/>
      <c r="N137" s="112"/>
      <c r="O137" s="112"/>
      <c r="P137" s="23"/>
      <c r="Q137" s="23"/>
      <c r="R137" s="23"/>
      <c r="S137" s="23"/>
      <c r="T137" s="23"/>
    </row>
    <row r="138" spans="1:20" s="7" customFormat="1" ht="19" x14ac:dyDescent="0.25">
      <c r="A138" s="106"/>
      <c r="B138" s="120" t="s">
        <v>716</v>
      </c>
      <c r="C138" s="296" t="s">
        <v>717</v>
      </c>
      <c r="D138" s="296"/>
      <c r="E138" s="296"/>
      <c r="F138" s="112"/>
      <c r="G138" s="112"/>
      <c r="H138" s="112"/>
      <c r="I138" s="112"/>
      <c r="J138" s="112"/>
      <c r="K138" s="112"/>
      <c r="L138" s="112"/>
      <c r="M138" s="112"/>
      <c r="N138" s="112"/>
      <c r="O138" s="112"/>
      <c r="P138" s="23"/>
      <c r="Q138" s="23"/>
      <c r="R138" s="23"/>
      <c r="S138" s="23"/>
      <c r="T138" s="23"/>
    </row>
    <row r="139" spans="1:20" s="7" customFormat="1" x14ac:dyDescent="0.2">
      <c r="A139" s="106"/>
      <c r="B139" s="121" t="s">
        <v>718</v>
      </c>
      <c r="C139" s="297" t="s">
        <v>719</v>
      </c>
      <c r="D139" s="297"/>
      <c r="E139" s="297"/>
      <c r="F139" s="112"/>
      <c r="G139" s="112"/>
      <c r="H139" s="112"/>
      <c r="I139" s="112"/>
      <c r="J139" s="112"/>
      <c r="K139" s="112"/>
      <c r="L139" s="112"/>
      <c r="M139" s="112"/>
      <c r="N139" s="112"/>
      <c r="O139" s="112"/>
      <c r="P139" s="23"/>
      <c r="Q139" s="23"/>
      <c r="R139" s="23"/>
      <c r="S139" s="23"/>
      <c r="T139" s="23"/>
    </row>
    <row r="140" spans="1:20" s="7" customFormat="1" x14ac:dyDescent="0.2">
      <c r="A140" s="106"/>
      <c r="B140" s="121" t="s">
        <v>720</v>
      </c>
      <c r="C140" s="297" t="s">
        <v>721</v>
      </c>
      <c r="D140" s="297"/>
      <c r="E140" s="297"/>
      <c r="F140" s="112"/>
      <c r="G140" s="112"/>
      <c r="H140" s="112"/>
      <c r="I140" s="112"/>
      <c r="J140" s="112"/>
      <c r="K140" s="112"/>
      <c r="L140" s="112"/>
      <c r="M140" s="112"/>
      <c r="N140" s="112"/>
      <c r="O140" s="112"/>
      <c r="P140" s="23"/>
      <c r="Q140" s="23"/>
      <c r="R140" s="23"/>
      <c r="S140" s="23"/>
      <c r="T140" s="23"/>
    </row>
    <row r="141" spans="1:20" s="7" customFormat="1" x14ac:dyDescent="0.2">
      <c r="A141" s="106"/>
      <c r="B141" s="121" t="s">
        <v>722</v>
      </c>
      <c r="C141" s="297" t="s">
        <v>723</v>
      </c>
      <c r="D141" s="297"/>
      <c r="E141" s="297"/>
      <c r="F141" s="112"/>
      <c r="G141" s="112"/>
      <c r="H141" s="112"/>
      <c r="I141" s="112"/>
      <c r="J141" s="112"/>
      <c r="K141" s="112"/>
      <c r="L141" s="112"/>
      <c r="M141" s="112"/>
      <c r="N141" s="112"/>
      <c r="O141" s="112"/>
      <c r="P141" s="23"/>
      <c r="Q141" s="23"/>
      <c r="R141" s="23"/>
      <c r="S141" s="23"/>
      <c r="T141" s="23"/>
    </row>
    <row r="142" spans="1:20" s="7" customFormat="1" x14ac:dyDescent="0.2">
      <c r="A142" s="106"/>
      <c r="B142" s="121" t="s">
        <v>724</v>
      </c>
      <c r="C142" s="297" t="s">
        <v>725</v>
      </c>
      <c r="D142" s="297"/>
      <c r="E142" s="297"/>
      <c r="F142" s="112"/>
      <c r="G142" s="112"/>
      <c r="H142" s="112"/>
      <c r="I142" s="112"/>
      <c r="J142" s="112"/>
      <c r="K142" s="112"/>
      <c r="L142" s="112"/>
      <c r="M142" s="112"/>
      <c r="N142" s="112"/>
      <c r="O142" s="112"/>
      <c r="P142" s="23"/>
      <c r="Q142" s="23"/>
      <c r="R142" s="23"/>
      <c r="S142" s="23"/>
      <c r="T142" s="23"/>
    </row>
    <row r="143" spans="1:20" s="7" customFormat="1" x14ac:dyDescent="0.2">
      <c r="A143" s="106"/>
      <c r="B143" s="121" t="s">
        <v>726</v>
      </c>
      <c r="C143" s="297" t="s">
        <v>727</v>
      </c>
      <c r="D143" s="297"/>
      <c r="E143" s="297"/>
      <c r="F143" s="112"/>
      <c r="G143" s="112"/>
      <c r="H143" s="112"/>
      <c r="I143" s="112"/>
      <c r="J143" s="112"/>
      <c r="K143" s="112"/>
      <c r="L143" s="112"/>
      <c r="M143" s="112"/>
      <c r="N143" s="112"/>
      <c r="O143" s="112"/>
      <c r="P143" s="23"/>
      <c r="Q143" s="23"/>
      <c r="R143" s="23"/>
      <c r="S143" s="23"/>
      <c r="T143" s="23"/>
    </row>
    <row r="144" spans="1:20" s="7" customFormat="1" x14ac:dyDescent="0.2">
      <c r="A144" s="106"/>
      <c r="B144" s="118"/>
      <c r="C144" s="114"/>
      <c r="D144" s="115"/>
      <c r="E144" s="119"/>
      <c r="F144" s="112"/>
      <c r="G144" s="112"/>
      <c r="H144" s="112"/>
      <c r="I144" s="112"/>
      <c r="J144" s="112"/>
      <c r="K144" s="112"/>
      <c r="L144" s="112"/>
      <c r="M144" s="112"/>
      <c r="N144" s="112"/>
      <c r="O144" s="112"/>
      <c r="P144" s="23"/>
      <c r="Q144" s="23"/>
      <c r="R144" s="23"/>
      <c r="S144" s="23"/>
      <c r="T144" s="23"/>
    </row>
    <row r="145" spans="1:35" x14ac:dyDescent="0.2">
      <c r="A145" s="7"/>
      <c r="B145" s="17"/>
      <c r="C145" s="17"/>
      <c r="D145" s="17"/>
      <c r="E145" s="11"/>
      <c r="F145" s="11"/>
      <c r="G145" s="11"/>
      <c r="H145" s="11"/>
      <c r="I145" s="11"/>
      <c r="J145" s="11"/>
      <c r="K145" s="11"/>
      <c r="L145" s="11"/>
      <c r="M145" s="11"/>
      <c r="N145" s="11"/>
      <c r="O145" s="11"/>
      <c r="P145" s="11"/>
      <c r="Q145" s="11"/>
      <c r="R145" s="11"/>
      <c r="S145" s="11"/>
      <c r="T145" s="11"/>
      <c r="U145" s="7"/>
      <c r="V145" s="7"/>
      <c r="W145" s="7"/>
      <c r="X145" s="7"/>
      <c r="Y145" s="7"/>
      <c r="Z145" s="7"/>
      <c r="AA145" s="7"/>
      <c r="AB145" s="7"/>
      <c r="AC145" s="7"/>
      <c r="AD145" s="7"/>
      <c r="AE145" s="7"/>
      <c r="AF145" s="7"/>
      <c r="AG145" s="7"/>
      <c r="AH145" s="7"/>
      <c r="AI145" s="7"/>
    </row>
    <row r="146" spans="1:35" x14ac:dyDescent="0.2">
      <c r="A146" s="7"/>
      <c r="B146" s="7"/>
      <c r="C146" s="7"/>
      <c r="D146" s="7"/>
      <c r="E146" s="105"/>
      <c r="F146" s="7"/>
      <c r="G146" s="7"/>
      <c r="H146" s="7"/>
      <c r="I146" s="7"/>
      <c r="J146" s="7"/>
      <c r="K146" s="7"/>
      <c r="L146" s="7"/>
      <c r="M146" s="7"/>
      <c r="N146" s="7"/>
      <c r="O146" s="7"/>
      <c r="P146" s="7"/>
      <c r="Q146" s="7"/>
      <c r="R146" s="7"/>
      <c r="S146" s="7"/>
      <c r="T146" s="7"/>
      <c r="U146" s="7"/>
      <c r="V146" s="7"/>
      <c r="W146" s="7"/>
      <c r="X146" s="7"/>
      <c r="Y146" s="7"/>
      <c r="Z146" s="7"/>
      <c r="AA146" s="7"/>
      <c r="AB146" s="7"/>
      <c r="AC146" s="7"/>
      <c r="AD146" s="7"/>
      <c r="AE146" s="7"/>
      <c r="AF146" s="7"/>
      <c r="AG146" s="7"/>
      <c r="AH146" s="7"/>
      <c r="AI146" s="7"/>
    </row>
    <row r="147" spans="1:35" s="40" customFormat="1" ht="29.25" customHeight="1" x14ac:dyDescent="0.2">
      <c r="A147" s="7"/>
      <c r="B147" s="99" t="s">
        <v>728</v>
      </c>
      <c r="C147" s="100"/>
      <c r="D147" s="100"/>
      <c r="E147" s="100"/>
      <c r="F147" s="100"/>
      <c r="G147" s="100"/>
    </row>
    <row r="148" spans="1:35" s="7" customFormat="1" ht="144.75" customHeight="1" x14ac:dyDescent="0.2">
      <c r="B148" s="103" t="s">
        <v>729</v>
      </c>
      <c r="C148" s="104"/>
      <c r="D148" s="104"/>
      <c r="E148" s="105"/>
      <c r="F148" s="104"/>
      <c r="G148" s="23"/>
      <c r="H148" s="23"/>
      <c r="I148" s="23"/>
      <c r="J148" s="23"/>
      <c r="K148" s="23"/>
      <c r="L148" s="23"/>
      <c r="M148" s="23"/>
      <c r="N148" s="23"/>
      <c r="O148" s="23"/>
      <c r="P148" s="23"/>
      <c r="Q148" s="23"/>
      <c r="R148" s="23"/>
      <c r="S148" s="23"/>
      <c r="T148" s="23"/>
    </row>
    <row r="149" spans="1:35" ht="32" x14ac:dyDescent="0.2">
      <c r="A149" s="7"/>
      <c r="B149" s="9" t="s">
        <v>600</v>
      </c>
      <c r="C149" s="9" t="s">
        <v>730</v>
      </c>
      <c r="D149" s="9" t="s">
        <v>731</v>
      </c>
      <c r="E149" s="123" t="s">
        <v>732</v>
      </c>
      <c r="F149" s="9" t="s">
        <v>733</v>
      </c>
      <c r="G149" s="9" t="s">
        <v>734</v>
      </c>
      <c r="H149" s="7"/>
      <c r="I149" s="7"/>
      <c r="J149" s="7"/>
      <c r="K149" s="7"/>
      <c r="L149" s="7"/>
      <c r="M149" s="7"/>
      <c r="N149" s="7"/>
      <c r="O149" s="7"/>
      <c r="P149" s="7"/>
      <c r="Q149" s="7"/>
      <c r="R149" s="7"/>
      <c r="S149" s="7"/>
      <c r="T149" s="7"/>
      <c r="U149" s="7"/>
      <c r="V149" s="7"/>
      <c r="W149" s="7"/>
      <c r="X149" s="7"/>
      <c r="Y149" s="7"/>
      <c r="Z149" s="7"/>
      <c r="AA149" s="7"/>
      <c r="AB149" s="7"/>
      <c r="AC149" s="7"/>
      <c r="AD149" s="7"/>
      <c r="AE149" s="7"/>
      <c r="AF149" s="7"/>
      <c r="AG149" s="7"/>
      <c r="AH149" s="7"/>
      <c r="AI149" s="7"/>
    </row>
    <row r="150" spans="1:35" x14ac:dyDescent="0.2">
      <c r="A150" s="7"/>
      <c r="B150" s="11"/>
      <c r="C150" s="11"/>
      <c r="D150" s="11"/>
      <c r="E150" s="11"/>
      <c r="F150" s="7"/>
      <c r="G150" s="7"/>
      <c r="H150" s="7"/>
      <c r="I150" s="7"/>
      <c r="J150" s="7"/>
      <c r="K150" s="7"/>
      <c r="L150" s="7"/>
      <c r="M150" s="7"/>
      <c r="N150" s="7"/>
      <c r="O150" s="7"/>
      <c r="P150" s="7"/>
      <c r="Q150" s="7"/>
      <c r="R150" s="7"/>
      <c r="S150" s="7"/>
      <c r="T150" s="7"/>
      <c r="U150" s="7"/>
      <c r="V150" s="7"/>
      <c r="W150" s="7"/>
      <c r="X150" s="7"/>
      <c r="Y150" s="7"/>
      <c r="Z150" s="7"/>
      <c r="AA150" s="7"/>
      <c r="AB150" s="7"/>
      <c r="AC150" s="7"/>
      <c r="AD150" s="7"/>
      <c r="AE150" s="7"/>
      <c r="AF150" s="7"/>
      <c r="AG150" s="7"/>
      <c r="AH150" s="7"/>
      <c r="AI150" s="7"/>
    </row>
    <row r="151" spans="1:35" ht="29.25" customHeight="1" x14ac:dyDescent="0.2">
      <c r="A151" s="7"/>
      <c r="B151" s="8" t="s">
        <v>735</v>
      </c>
      <c r="C151" s="134" t="s">
        <v>736</v>
      </c>
      <c r="D151" s="133">
        <v>0.65</v>
      </c>
      <c r="E151" s="134">
        <v>0.25</v>
      </c>
      <c r="F151" s="134">
        <v>0.1</v>
      </c>
      <c r="G151" s="135" t="s">
        <v>737</v>
      </c>
      <c r="H151" s="7"/>
      <c r="I151" s="7"/>
      <c r="J151" s="7"/>
      <c r="K151" s="7"/>
      <c r="L151" s="7"/>
      <c r="M151" s="7"/>
      <c r="N151" s="7"/>
      <c r="O151" s="7"/>
      <c r="P151" s="7"/>
      <c r="Q151" s="7"/>
      <c r="R151" s="7"/>
      <c r="S151" s="7"/>
      <c r="T151" s="7"/>
      <c r="U151" s="7"/>
      <c r="V151" s="7"/>
      <c r="W151" s="7"/>
      <c r="X151" s="7"/>
      <c r="Y151" s="7"/>
      <c r="Z151" s="7"/>
      <c r="AA151" s="7"/>
      <c r="AB151" s="7"/>
      <c r="AC151" s="7"/>
      <c r="AD151" s="7"/>
      <c r="AE151" s="7"/>
      <c r="AF151" s="7"/>
      <c r="AG151" s="7"/>
      <c r="AH151" s="7"/>
      <c r="AI151" s="7"/>
    </row>
    <row r="152" spans="1:35" ht="16" x14ac:dyDescent="0.2">
      <c r="A152" s="7"/>
      <c r="B152" s="8" t="s">
        <v>738</v>
      </c>
      <c r="C152" s="102" t="s">
        <v>736</v>
      </c>
      <c r="D152" s="134">
        <v>0.3</v>
      </c>
      <c r="E152" s="134">
        <v>0.45</v>
      </c>
      <c r="F152" s="134">
        <v>0.25</v>
      </c>
      <c r="G152" s="135" t="s">
        <v>737</v>
      </c>
      <c r="H152" s="7"/>
      <c r="I152" s="7"/>
      <c r="J152" s="7"/>
      <c r="K152" s="7"/>
      <c r="L152" s="7"/>
      <c r="M152" s="7"/>
      <c r="N152" s="7"/>
      <c r="O152" s="7"/>
      <c r="P152" s="7"/>
      <c r="Q152" s="7"/>
      <c r="R152" s="7"/>
      <c r="S152" s="7"/>
      <c r="T152" s="7"/>
      <c r="U152" s="7"/>
      <c r="V152" s="7"/>
      <c r="W152" s="7"/>
      <c r="X152" s="7"/>
      <c r="Y152" s="7"/>
      <c r="Z152" s="7"/>
      <c r="AA152" s="7"/>
      <c r="AB152" s="7"/>
      <c r="AC152" s="7"/>
      <c r="AD152" s="7"/>
      <c r="AE152" s="7"/>
      <c r="AF152" s="7"/>
      <c r="AG152" s="7"/>
      <c r="AH152" s="7"/>
      <c r="AI152" s="7"/>
    </row>
    <row r="153" spans="1:35" s="7" customFormat="1" ht="16" x14ac:dyDescent="0.2">
      <c r="B153" s="8" t="s">
        <v>739</v>
      </c>
      <c r="C153" s="8" t="s">
        <v>736</v>
      </c>
      <c r="D153" s="134">
        <v>0.3</v>
      </c>
      <c r="E153" s="134">
        <v>0.45</v>
      </c>
      <c r="F153" s="134">
        <v>0.25</v>
      </c>
      <c r="G153" s="135" t="s">
        <v>737</v>
      </c>
    </row>
    <row r="154" spans="1:35" s="7" customFormat="1" ht="29.25" customHeight="1" x14ac:dyDescent="0.2">
      <c r="B154" s="8" t="s">
        <v>740</v>
      </c>
      <c r="C154" s="8" t="s">
        <v>741</v>
      </c>
      <c r="D154" s="134">
        <v>0</v>
      </c>
      <c r="E154" s="134">
        <v>0.65</v>
      </c>
      <c r="F154" s="134">
        <v>0.35</v>
      </c>
      <c r="G154" s="135" t="s">
        <v>737</v>
      </c>
    </row>
    <row r="155" spans="1:35" s="7" customFormat="1" ht="32" x14ac:dyDescent="0.2">
      <c r="B155" s="8" t="s">
        <v>742</v>
      </c>
      <c r="C155" s="8" t="s">
        <v>743</v>
      </c>
      <c r="D155" s="134">
        <v>0</v>
      </c>
      <c r="E155" s="134">
        <v>0.65</v>
      </c>
      <c r="F155" s="134">
        <v>0.35</v>
      </c>
      <c r="G155" s="135" t="s">
        <v>737</v>
      </c>
    </row>
    <row r="156" spans="1:35" x14ac:dyDescent="0.2">
      <c r="A156" s="7"/>
      <c r="B156" s="7" t="s">
        <v>744</v>
      </c>
      <c r="C156" s="7"/>
      <c r="D156" s="7"/>
      <c r="E156" s="7"/>
      <c r="F156" s="7"/>
      <c r="G156" s="7"/>
      <c r="H156" s="7"/>
      <c r="I156" s="7"/>
      <c r="J156" s="7"/>
      <c r="K156" s="7"/>
      <c r="L156" s="7"/>
      <c r="M156" s="7"/>
      <c r="N156" s="7"/>
      <c r="O156" s="7"/>
      <c r="P156" s="7"/>
      <c r="Q156" s="7"/>
      <c r="R156" s="7"/>
      <c r="S156" s="7"/>
      <c r="T156" s="7"/>
      <c r="U156" s="7"/>
      <c r="V156" s="7"/>
      <c r="W156" s="7"/>
      <c r="X156" s="7"/>
      <c r="Y156" s="7"/>
      <c r="Z156" s="7"/>
      <c r="AA156" s="7"/>
      <c r="AB156" s="7"/>
      <c r="AC156" s="7"/>
      <c r="AD156" s="7"/>
      <c r="AE156" s="7"/>
      <c r="AF156" s="7"/>
      <c r="AG156" s="7"/>
      <c r="AH156" s="7"/>
      <c r="AI156" s="7"/>
    </row>
    <row r="157" spans="1:35" x14ac:dyDescent="0.2">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c r="AA157" s="7"/>
      <c r="AB157" s="7"/>
      <c r="AC157" s="7"/>
      <c r="AD157" s="7"/>
      <c r="AE157" s="7"/>
      <c r="AF157" s="7"/>
      <c r="AG157" s="7"/>
      <c r="AH157" s="7"/>
      <c r="AI157" s="7"/>
    </row>
    <row r="158" spans="1:35" x14ac:dyDescent="0.2">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c r="AA158" s="7"/>
      <c r="AB158" s="7"/>
      <c r="AC158" s="7"/>
      <c r="AD158" s="7"/>
      <c r="AE158" s="7"/>
      <c r="AF158" s="7"/>
      <c r="AG158" s="7"/>
      <c r="AH158" s="7"/>
      <c r="AI158" s="7"/>
    </row>
    <row r="159" spans="1:35" x14ac:dyDescent="0.2">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c r="AA159" s="7"/>
      <c r="AB159" s="7"/>
      <c r="AC159" s="7"/>
      <c r="AD159" s="7"/>
      <c r="AE159" s="7"/>
      <c r="AF159" s="7"/>
      <c r="AG159" s="7"/>
      <c r="AH159" s="7"/>
      <c r="AI159" s="7"/>
    </row>
    <row r="160" spans="1:35" x14ac:dyDescent="0.2">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c r="AA160" s="7"/>
      <c r="AB160" s="7"/>
      <c r="AC160" s="7"/>
      <c r="AD160" s="7"/>
      <c r="AE160" s="7"/>
      <c r="AF160" s="7"/>
      <c r="AG160" s="7"/>
      <c r="AH160" s="7"/>
      <c r="AI160" s="7"/>
    </row>
    <row r="161" spans="1:35" x14ac:dyDescent="0.2">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c r="AA161" s="7"/>
      <c r="AB161" s="7"/>
      <c r="AC161" s="7"/>
      <c r="AD161" s="7"/>
      <c r="AE161" s="7"/>
      <c r="AF161" s="7"/>
      <c r="AG161" s="7"/>
      <c r="AH161" s="7"/>
      <c r="AI161" s="7"/>
    </row>
    <row r="162" spans="1:35" x14ac:dyDescent="0.2">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c r="AA162" s="7"/>
      <c r="AB162" s="7"/>
      <c r="AC162" s="7"/>
      <c r="AD162" s="7"/>
      <c r="AE162" s="7"/>
      <c r="AF162" s="7"/>
      <c r="AG162" s="7"/>
      <c r="AH162" s="7"/>
      <c r="AI162" s="7"/>
    </row>
    <row r="163" spans="1:35" x14ac:dyDescent="0.2">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c r="AA163" s="7"/>
      <c r="AB163" s="7"/>
      <c r="AC163" s="7"/>
      <c r="AD163" s="7"/>
      <c r="AE163" s="7"/>
      <c r="AF163" s="7"/>
      <c r="AG163" s="7"/>
      <c r="AH163" s="7"/>
      <c r="AI163" s="7"/>
    </row>
    <row r="164" spans="1:35" x14ac:dyDescent="0.2">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c r="AA164" s="7"/>
      <c r="AB164" s="7"/>
      <c r="AC164" s="7"/>
      <c r="AD164" s="7"/>
      <c r="AE164" s="7"/>
      <c r="AF164" s="7"/>
      <c r="AG164" s="7"/>
      <c r="AH164" s="7"/>
      <c r="AI164" s="7"/>
    </row>
    <row r="165" spans="1:35" x14ac:dyDescent="0.2">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c r="AA165" s="7"/>
      <c r="AB165" s="7"/>
      <c r="AC165" s="7"/>
      <c r="AD165" s="7"/>
      <c r="AE165" s="7"/>
      <c r="AF165" s="7"/>
      <c r="AG165" s="7"/>
      <c r="AH165" s="7"/>
      <c r="AI165" s="7"/>
    </row>
    <row r="166" spans="1:35" x14ac:dyDescent="0.2">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c r="AA166" s="7"/>
      <c r="AB166" s="7"/>
      <c r="AC166" s="7"/>
      <c r="AD166" s="7"/>
      <c r="AE166" s="7"/>
      <c r="AF166" s="7"/>
      <c r="AG166" s="7"/>
      <c r="AH166" s="7"/>
      <c r="AI166" s="7"/>
    </row>
    <row r="167" spans="1:35" x14ac:dyDescent="0.2">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c r="AA167" s="7"/>
      <c r="AB167" s="7"/>
      <c r="AC167" s="7"/>
      <c r="AD167" s="7"/>
      <c r="AE167" s="7"/>
      <c r="AF167" s="7"/>
      <c r="AG167" s="7"/>
      <c r="AH167" s="7"/>
      <c r="AI167" s="7"/>
    </row>
    <row r="168" spans="1:35" x14ac:dyDescent="0.2">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c r="AA168" s="7"/>
      <c r="AB168" s="7"/>
      <c r="AC168" s="7"/>
      <c r="AD168" s="7"/>
      <c r="AE168" s="7"/>
      <c r="AF168" s="7"/>
      <c r="AG168" s="7"/>
      <c r="AH168" s="7"/>
      <c r="AI168" s="7"/>
    </row>
    <row r="169" spans="1:35" x14ac:dyDescent="0.2">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c r="AA169" s="7"/>
      <c r="AB169" s="7"/>
      <c r="AC169" s="7"/>
      <c r="AD169" s="7"/>
      <c r="AE169" s="7"/>
      <c r="AF169" s="7"/>
      <c r="AG169" s="7"/>
      <c r="AH169" s="7"/>
      <c r="AI169" s="7"/>
    </row>
    <row r="170" spans="1:35" x14ac:dyDescent="0.2">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c r="AA170" s="7"/>
      <c r="AB170" s="7"/>
      <c r="AC170" s="7"/>
      <c r="AD170" s="7"/>
      <c r="AE170" s="7"/>
      <c r="AF170" s="7"/>
      <c r="AG170" s="7"/>
      <c r="AH170" s="7"/>
      <c r="AI170" s="7"/>
    </row>
    <row r="171" spans="1:35" x14ac:dyDescent="0.2">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c r="AA171" s="7"/>
      <c r="AB171" s="7"/>
      <c r="AC171" s="7"/>
      <c r="AD171" s="7"/>
      <c r="AE171" s="7"/>
      <c r="AF171" s="7"/>
      <c r="AG171" s="7"/>
      <c r="AH171" s="7"/>
      <c r="AI171" s="7"/>
    </row>
    <row r="172" spans="1:35" x14ac:dyDescent="0.2">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c r="AA172" s="7"/>
      <c r="AB172" s="7"/>
      <c r="AC172" s="7"/>
      <c r="AD172" s="7"/>
      <c r="AE172" s="7"/>
      <c r="AF172" s="7"/>
      <c r="AG172" s="7"/>
      <c r="AH172" s="7"/>
      <c r="AI172" s="7"/>
    </row>
    <row r="173" spans="1:35" x14ac:dyDescent="0.2">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c r="AA173" s="7"/>
      <c r="AB173" s="7"/>
      <c r="AC173" s="7"/>
      <c r="AD173" s="7"/>
      <c r="AE173" s="7"/>
      <c r="AF173" s="7"/>
      <c r="AG173" s="7"/>
      <c r="AH173" s="7"/>
      <c r="AI173" s="7"/>
    </row>
    <row r="174" spans="1:35" x14ac:dyDescent="0.2">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c r="AA174" s="7"/>
      <c r="AB174" s="7"/>
      <c r="AC174" s="7"/>
      <c r="AD174" s="7"/>
      <c r="AE174" s="7"/>
      <c r="AF174" s="7"/>
      <c r="AG174" s="7"/>
      <c r="AH174" s="7"/>
      <c r="AI174" s="7"/>
    </row>
    <row r="175" spans="1:35" x14ac:dyDescent="0.2">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c r="AA175" s="7"/>
      <c r="AB175" s="7"/>
      <c r="AC175" s="7"/>
      <c r="AD175" s="7"/>
      <c r="AE175" s="7"/>
      <c r="AF175" s="7"/>
      <c r="AG175" s="7"/>
      <c r="AH175" s="7"/>
      <c r="AI175" s="7"/>
    </row>
    <row r="176" spans="1:35" x14ac:dyDescent="0.2">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c r="AA176" s="7"/>
      <c r="AB176" s="7"/>
      <c r="AC176" s="7"/>
      <c r="AD176" s="7"/>
      <c r="AE176" s="7"/>
      <c r="AF176" s="7"/>
      <c r="AG176" s="7"/>
      <c r="AH176" s="7"/>
      <c r="AI176" s="7"/>
    </row>
    <row r="177" spans="1:35" x14ac:dyDescent="0.2">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c r="AA177" s="7"/>
      <c r="AB177" s="7"/>
      <c r="AC177" s="7"/>
      <c r="AD177" s="7"/>
      <c r="AE177" s="7"/>
      <c r="AF177" s="7"/>
      <c r="AG177" s="7"/>
      <c r="AH177" s="7"/>
      <c r="AI177" s="7"/>
    </row>
    <row r="178" spans="1:35" x14ac:dyDescent="0.2">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c r="AA178" s="7"/>
      <c r="AB178" s="7"/>
      <c r="AC178" s="7"/>
      <c r="AD178" s="7"/>
      <c r="AE178" s="7"/>
      <c r="AF178" s="7"/>
      <c r="AG178" s="7"/>
      <c r="AH178" s="7"/>
      <c r="AI178" s="7"/>
    </row>
    <row r="179" spans="1:35" x14ac:dyDescent="0.2">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c r="AA179" s="7"/>
      <c r="AB179" s="7"/>
      <c r="AC179" s="7"/>
      <c r="AD179" s="7"/>
      <c r="AE179" s="7"/>
      <c r="AF179" s="7"/>
      <c r="AG179" s="7"/>
      <c r="AH179" s="7"/>
      <c r="AI179" s="7"/>
    </row>
    <row r="180" spans="1:35" x14ac:dyDescent="0.2">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c r="AA180" s="7"/>
      <c r="AB180" s="7"/>
      <c r="AC180" s="7"/>
      <c r="AD180" s="7"/>
      <c r="AE180" s="7"/>
      <c r="AF180" s="7"/>
      <c r="AG180" s="7"/>
      <c r="AH180" s="7"/>
      <c r="AI180" s="7"/>
    </row>
    <row r="181" spans="1:35" x14ac:dyDescent="0.2">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c r="AA181" s="7"/>
      <c r="AB181" s="7"/>
      <c r="AC181" s="7"/>
      <c r="AD181" s="7"/>
      <c r="AE181" s="7"/>
      <c r="AF181" s="7"/>
      <c r="AG181" s="7"/>
      <c r="AH181" s="7"/>
      <c r="AI181" s="7"/>
    </row>
    <row r="182" spans="1:35" x14ac:dyDescent="0.2">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c r="AA182" s="7"/>
      <c r="AB182" s="7"/>
      <c r="AC182" s="7"/>
      <c r="AD182" s="7"/>
      <c r="AE182" s="7"/>
      <c r="AF182" s="7"/>
      <c r="AG182" s="7"/>
      <c r="AH182" s="7"/>
      <c r="AI182" s="7"/>
    </row>
    <row r="183" spans="1:35" x14ac:dyDescent="0.2">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c r="AA183" s="7"/>
      <c r="AB183" s="7"/>
      <c r="AC183" s="7"/>
      <c r="AD183" s="7"/>
      <c r="AE183" s="7"/>
      <c r="AF183" s="7"/>
      <c r="AG183" s="7"/>
      <c r="AH183" s="7"/>
      <c r="AI183" s="7"/>
    </row>
    <row r="184" spans="1:35" x14ac:dyDescent="0.2">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c r="AA184" s="7"/>
      <c r="AB184" s="7"/>
      <c r="AC184" s="7"/>
      <c r="AD184" s="7"/>
      <c r="AE184" s="7"/>
      <c r="AF184" s="7"/>
      <c r="AG184" s="7"/>
      <c r="AH184" s="7"/>
      <c r="AI184" s="7"/>
    </row>
    <row r="185" spans="1:35" x14ac:dyDescent="0.2">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c r="AA185" s="7"/>
      <c r="AB185" s="7"/>
      <c r="AC185" s="7"/>
      <c r="AD185" s="7"/>
      <c r="AE185" s="7"/>
      <c r="AF185" s="7"/>
      <c r="AG185" s="7"/>
      <c r="AH185" s="7"/>
      <c r="AI185" s="7"/>
    </row>
    <row r="186" spans="1:35" x14ac:dyDescent="0.2">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c r="AA186" s="7"/>
      <c r="AB186" s="7"/>
      <c r="AC186" s="7"/>
      <c r="AD186" s="7"/>
      <c r="AE186" s="7"/>
      <c r="AF186" s="7"/>
      <c r="AG186" s="7"/>
      <c r="AH186" s="7"/>
      <c r="AI186" s="7"/>
    </row>
    <row r="187" spans="1:35" x14ac:dyDescent="0.2">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c r="AA187" s="7"/>
      <c r="AB187" s="7"/>
      <c r="AC187" s="7"/>
      <c r="AD187" s="7"/>
      <c r="AE187" s="7"/>
      <c r="AF187" s="7"/>
      <c r="AG187" s="7"/>
      <c r="AH187" s="7"/>
      <c r="AI187" s="7"/>
    </row>
    <row r="188" spans="1:35" x14ac:dyDescent="0.2">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c r="AA188" s="7"/>
      <c r="AB188" s="7"/>
      <c r="AC188" s="7"/>
      <c r="AD188" s="7"/>
      <c r="AE188" s="7"/>
      <c r="AF188" s="7"/>
      <c r="AG188" s="7"/>
      <c r="AH188" s="7"/>
      <c r="AI188" s="7"/>
    </row>
    <row r="189" spans="1:35" x14ac:dyDescent="0.2">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c r="AA189" s="7"/>
      <c r="AB189" s="7"/>
      <c r="AC189" s="7"/>
      <c r="AD189" s="7"/>
      <c r="AE189" s="7"/>
      <c r="AF189" s="7"/>
      <c r="AG189" s="7"/>
      <c r="AH189" s="7"/>
      <c r="AI189" s="7"/>
    </row>
    <row r="190" spans="1:35" x14ac:dyDescent="0.2">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c r="AA190" s="7"/>
      <c r="AB190" s="7"/>
      <c r="AC190" s="7"/>
      <c r="AD190" s="7"/>
      <c r="AE190" s="7"/>
      <c r="AF190" s="7"/>
      <c r="AG190" s="7"/>
      <c r="AH190" s="7"/>
      <c r="AI190" s="7"/>
    </row>
    <row r="191" spans="1:35" x14ac:dyDescent="0.2">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c r="AA191" s="7"/>
      <c r="AB191" s="7"/>
      <c r="AC191" s="7"/>
      <c r="AD191" s="7"/>
      <c r="AE191" s="7"/>
      <c r="AF191" s="7"/>
      <c r="AG191" s="7"/>
      <c r="AH191" s="7"/>
      <c r="AI191" s="7"/>
    </row>
    <row r="192" spans="1:35" x14ac:dyDescent="0.2">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c r="AA192" s="7"/>
      <c r="AB192" s="7"/>
      <c r="AC192" s="7"/>
      <c r="AD192" s="7"/>
      <c r="AE192" s="7"/>
      <c r="AF192" s="7"/>
      <c r="AG192" s="7"/>
      <c r="AH192" s="7"/>
      <c r="AI192" s="7"/>
    </row>
    <row r="193" spans="1:35" x14ac:dyDescent="0.2">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c r="AA193" s="7"/>
      <c r="AB193" s="7"/>
      <c r="AC193" s="7"/>
      <c r="AD193" s="7"/>
      <c r="AE193" s="7"/>
      <c r="AF193" s="7"/>
      <c r="AG193" s="7"/>
      <c r="AH193" s="7"/>
      <c r="AI193" s="7"/>
    </row>
    <row r="194" spans="1:35" x14ac:dyDescent="0.2">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c r="AA194" s="7"/>
      <c r="AB194" s="7"/>
      <c r="AC194" s="7"/>
      <c r="AD194" s="7"/>
      <c r="AE194" s="7"/>
      <c r="AF194" s="7"/>
      <c r="AG194" s="7"/>
      <c r="AH194" s="7"/>
      <c r="AI194" s="7"/>
    </row>
    <row r="195" spans="1:35" x14ac:dyDescent="0.2">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c r="AA195" s="7"/>
      <c r="AB195" s="7"/>
      <c r="AC195" s="7"/>
      <c r="AD195" s="7"/>
      <c r="AE195" s="7"/>
      <c r="AF195" s="7"/>
      <c r="AG195" s="7"/>
      <c r="AH195" s="7"/>
      <c r="AI195" s="7"/>
    </row>
    <row r="196" spans="1:35" x14ac:dyDescent="0.2">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c r="AA196" s="7"/>
      <c r="AB196" s="7"/>
      <c r="AC196" s="7"/>
      <c r="AD196" s="7"/>
      <c r="AE196" s="7"/>
      <c r="AF196" s="7"/>
      <c r="AG196" s="7"/>
      <c r="AH196" s="7"/>
      <c r="AI196" s="7"/>
    </row>
    <row r="197" spans="1:35" x14ac:dyDescent="0.2">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c r="AA197" s="7"/>
      <c r="AB197" s="7"/>
      <c r="AC197" s="7"/>
      <c r="AD197" s="7"/>
      <c r="AE197" s="7"/>
      <c r="AF197" s="7"/>
      <c r="AG197" s="7"/>
      <c r="AH197" s="7"/>
      <c r="AI197" s="7"/>
    </row>
    <row r="198" spans="1:35" x14ac:dyDescent="0.2">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c r="AA198" s="7"/>
      <c r="AB198" s="7"/>
      <c r="AC198" s="7"/>
      <c r="AD198" s="7"/>
      <c r="AE198" s="7"/>
      <c r="AF198" s="7"/>
      <c r="AG198" s="7"/>
      <c r="AH198" s="7"/>
      <c r="AI198" s="7"/>
    </row>
    <row r="199" spans="1:35" x14ac:dyDescent="0.2">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c r="AA199" s="7"/>
      <c r="AB199" s="7"/>
      <c r="AC199" s="7"/>
      <c r="AD199" s="7"/>
      <c r="AE199" s="7"/>
      <c r="AF199" s="7"/>
      <c r="AG199" s="7"/>
      <c r="AH199" s="7"/>
      <c r="AI199" s="7"/>
    </row>
    <row r="200" spans="1:35" x14ac:dyDescent="0.2">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c r="AA200" s="7"/>
      <c r="AB200" s="7"/>
      <c r="AC200" s="7"/>
      <c r="AD200" s="7"/>
      <c r="AE200" s="7"/>
      <c r="AF200" s="7"/>
      <c r="AG200" s="7"/>
      <c r="AH200" s="7"/>
      <c r="AI200" s="7"/>
    </row>
    <row r="201" spans="1:35" x14ac:dyDescent="0.2">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c r="AA201" s="7"/>
      <c r="AB201" s="7"/>
      <c r="AC201" s="7"/>
      <c r="AD201" s="7"/>
      <c r="AE201" s="7"/>
      <c r="AF201" s="7"/>
      <c r="AG201" s="7"/>
      <c r="AH201" s="7"/>
      <c r="AI201" s="7"/>
    </row>
    <row r="202" spans="1:35" x14ac:dyDescent="0.2">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c r="AA202" s="7"/>
      <c r="AB202" s="7"/>
      <c r="AC202" s="7"/>
      <c r="AD202" s="7"/>
      <c r="AE202" s="7"/>
      <c r="AF202" s="7"/>
      <c r="AG202" s="7"/>
      <c r="AH202" s="7"/>
      <c r="AI202" s="7"/>
    </row>
    <row r="203" spans="1:35" x14ac:dyDescent="0.2">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c r="AA203" s="7"/>
      <c r="AB203" s="7"/>
      <c r="AC203" s="7"/>
      <c r="AD203" s="7"/>
      <c r="AE203" s="7"/>
      <c r="AF203" s="7"/>
      <c r="AG203" s="7"/>
      <c r="AH203" s="7"/>
      <c r="AI203" s="7"/>
    </row>
    <row r="204" spans="1:35" x14ac:dyDescent="0.2">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c r="AA204" s="7"/>
      <c r="AB204" s="7"/>
      <c r="AC204" s="7"/>
      <c r="AD204" s="7"/>
      <c r="AE204" s="7"/>
      <c r="AF204" s="7"/>
      <c r="AG204" s="7"/>
      <c r="AH204" s="7"/>
      <c r="AI204" s="7"/>
    </row>
    <row r="205" spans="1:35" x14ac:dyDescent="0.2">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c r="AA205" s="7"/>
      <c r="AB205" s="7"/>
      <c r="AC205" s="7"/>
      <c r="AD205" s="7"/>
      <c r="AE205" s="7"/>
      <c r="AF205" s="7"/>
      <c r="AG205" s="7"/>
      <c r="AH205" s="7"/>
      <c r="AI205" s="7"/>
    </row>
    <row r="206" spans="1:35" x14ac:dyDescent="0.2">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c r="AA206" s="7"/>
      <c r="AB206" s="7"/>
      <c r="AC206" s="7"/>
      <c r="AD206" s="7"/>
      <c r="AE206" s="7"/>
      <c r="AF206" s="7"/>
      <c r="AG206" s="7"/>
      <c r="AH206" s="7"/>
      <c r="AI206" s="7"/>
    </row>
    <row r="207" spans="1:35" x14ac:dyDescent="0.2">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c r="AA207" s="7"/>
      <c r="AB207" s="7"/>
      <c r="AC207" s="7"/>
      <c r="AD207" s="7"/>
      <c r="AE207" s="7"/>
      <c r="AF207" s="7"/>
      <c r="AG207" s="7"/>
      <c r="AH207" s="7"/>
      <c r="AI207" s="7"/>
    </row>
    <row r="208" spans="1:35" x14ac:dyDescent="0.2">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c r="AA208" s="7"/>
      <c r="AB208" s="7"/>
      <c r="AC208" s="7"/>
      <c r="AD208" s="7"/>
      <c r="AE208" s="7"/>
      <c r="AF208" s="7"/>
      <c r="AG208" s="7"/>
      <c r="AH208" s="7"/>
      <c r="AI208" s="7"/>
    </row>
    <row r="209" spans="1:35" x14ac:dyDescent="0.2">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c r="AA209" s="7"/>
      <c r="AB209" s="7"/>
      <c r="AC209" s="7"/>
      <c r="AD209" s="7"/>
      <c r="AE209" s="7"/>
      <c r="AF209" s="7"/>
      <c r="AG209" s="7"/>
      <c r="AH209" s="7"/>
      <c r="AI209" s="7"/>
    </row>
    <row r="210" spans="1:35" x14ac:dyDescent="0.2">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c r="AA210" s="7"/>
      <c r="AB210" s="7"/>
      <c r="AC210" s="7"/>
      <c r="AD210" s="7"/>
      <c r="AE210" s="7"/>
      <c r="AF210" s="7"/>
      <c r="AG210" s="7"/>
      <c r="AH210" s="7"/>
      <c r="AI210" s="7"/>
    </row>
    <row r="211" spans="1:35" x14ac:dyDescent="0.2">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c r="AA211" s="7"/>
      <c r="AB211" s="7"/>
      <c r="AC211" s="7"/>
      <c r="AD211" s="7"/>
      <c r="AE211" s="7"/>
      <c r="AF211" s="7"/>
      <c r="AG211" s="7"/>
      <c r="AH211" s="7"/>
      <c r="AI211" s="7"/>
    </row>
    <row r="212" spans="1:35" x14ac:dyDescent="0.2">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c r="AA212" s="7"/>
      <c r="AB212" s="7"/>
      <c r="AC212" s="7"/>
      <c r="AD212" s="7"/>
      <c r="AE212" s="7"/>
      <c r="AF212" s="7"/>
      <c r="AG212" s="7"/>
      <c r="AH212" s="7"/>
      <c r="AI212" s="7"/>
    </row>
    <row r="213" spans="1:35" x14ac:dyDescent="0.2">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c r="AA213" s="7"/>
      <c r="AB213" s="7"/>
      <c r="AC213" s="7"/>
      <c r="AD213" s="7"/>
      <c r="AE213" s="7"/>
      <c r="AF213" s="7"/>
      <c r="AG213" s="7"/>
      <c r="AH213" s="7"/>
      <c r="AI213" s="7"/>
    </row>
    <row r="214" spans="1:35" x14ac:dyDescent="0.2">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c r="AA214" s="7"/>
      <c r="AB214" s="7"/>
      <c r="AC214" s="7"/>
      <c r="AD214" s="7"/>
      <c r="AE214" s="7"/>
      <c r="AF214" s="7"/>
      <c r="AG214" s="7"/>
      <c r="AH214" s="7"/>
      <c r="AI214" s="7"/>
    </row>
    <row r="215" spans="1:35" x14ac:dyDescent="0.2">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c r="AA215" s="7"/>
      <c r="AB215" s="7"/>
      <c r="AC215" s="7"/>
      <c r="AD215" s="7"/>
      <c r="AE215" s="7"/>
      <c r="AF215" s="7"/>
      <c r="AG215" s="7"/>
      <c r="AH215" s="7"/>
      <c r="AI215" s="7"/>
    </row>
    <row r="216" spans="1:35" x14ac:dyDescent="0.2">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c r="AA216" s="7"/>
      <c r="AB216" s="7"/>
      <c r="AC216" s="7"/>
      <c r="AD216" s="7"/>
      <c r="AE216" s="7"/>
      <c r="AF216" s="7"/>
      <c r="AG216" s="7"/>
      <c r="AH216" s="7"/>
      <c r="AI216" s="7"/>
    </row>
    <row r="217" spans="1:35" x14ac:dyDescent="0.2">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c r="AA217" s="7"/>
      <c r="AB217" s="7"/>
      <c r="AC217" s="7"/>
      <c r="AD217" s="7"/>
      <c r="AE217" s="7"/>
      <c r="AF217" s="7"/>
      <c r="AG217" s="7"/>
      <c r="AH217" s="7"/>
      <c r="AI217" s="7"/>
    </row>
    <row r="218" spans="1:35" x14ac:dyDescent="0.2">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c r="AA218" s="7"/>
      <c r="AB218" s="7"/>
      <c r="AC218" s="7"/>
      <c r="AD218" s="7"/>
      <c r="AE218" s="7"/>
      <c r="AF218" s="7"/>
      <c r="AG218" s="7"/>
      <c r="AH218" s="7"/>
      <c r="AI218" s="7"/>
    </row>
    <row r="219" spans="1:35" x14ac:dyDescent="0.2">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c r="AA219" s="7"/>
      <c r="AB219" s="7"/>
      <c r="AC219" s="7"/>
      <c r="AD219" s="7"/>
      <c r="AE219" s="7"/>
      <c r="AF219" s="7"/>
      <c r="AG219" s="7"/>
      <c r="AH219" s="7"/>
      <c r="AI219" s="7"/>
    </row>
    <row r="220" spans="1:35" x14ac:dyDescent="0.2">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c r="AA220" s="7"/>
      <c r="AB220" s="7"/>
      <c r="AC220" s="7"/>
      <c r="AD220" s="7"/>
      <c r="AE220" s="7"/>
      <c r="AF220" s="7"/>
      <c r="AG220" s="7"/>
      <c r="AH220" s="7"/>
      <c r="AI220" s="7"/>
    </row>
    <row r="221" spans="1:35" x14ac:dyDescent="0.2">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c r="AA221" s="7"/>
      <c r="AB221" s="7"/>
      <c r="AC221" s="7"/>
      <c r="AD221" s="7"/>
      <c r="AE221" s="7"/>
      <c r="AF221" s="7"/>
      <c r="AG221" s="7"/>
      <c r="AH221" s="7"/>
      <c r="AI221" s="7"/>
    </row>
    <row r="222" spans="1:35" x14ac:dyDescent="0.2">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c r="AA222" s="7"/>
      <c r="AB222" s="7"/>
      <c r="AC222" s="7"/>
      <c r="AD222" s="7"/>
      <c r="AE222" s="7"/>
      <c r="AF222" s="7"/>
      <c r="AG222" s="7"/>
      <c r="AH222" s="7"/>
      <c r="AI222" s="7"/>
    </row>
    <row r="223" spans="1:35" x14ac:dyDescent="0.2">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c r="AA223" s="7"/>
      <c r="AB223" s="7"/>
      <c r="AC223" s="7"/>
      <c r="AD223" s="7"/>
      <c r="AE223" s="7"/>
      <c r="AF223" s="7"/>
      <c r="AG223" s="7"/>
      <c r="AH223" s="7"/>
      <c r="AI223" s="7"/>
    </row>
    <row r="224" spans="1:35" x14ac:dyDescent="0.2">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c r="AA224" s="7"/>
      <c r="AB224" s="7"/>
      <c r="AC224" s="7"/>
      <c r="AD224" s="7"/>
      <c r="AE224" s="7"/>
      <c r="AF224" s="7"/>
      <c r="AG224" s="7"/>
      <c r="AH224" s="7"/>
      <c r="AI224" s="7"/>
    </row>
    <row r="225" spans="1:35" x14ac:dyDescent="0.2">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c r="AA225" s="7"/>
      <c r="AB225" s="7"/>
      <c r="AC225" s="7"/>
      <c r="AD225" s="7"/>
      <c r="AE225" s="7"/>
      <c r="AF225" s="7"/>
      <c r="AG225" s="7"/>
      <c r="AH225" s="7"/>
      <c r="AI225" s="7"/>
    </row>
    <row r="226" spans="1:35" x14ac:dyDescent="0.2">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c r="AA226" s="7"/>
      <c r="AB226" s="7"/>
      <c r="AC226" s="7"/>
      <c r="AD226" s="7"/>
      <c r="AE226" s="7"/>
      <c r="AF226" s="7"/>
      <c r="AG226" s="7"/>
      <c r="AH226" s="7"/>
      <c r="AI226" s="7"/>
    </row>
    <row r="227" spans="1:35" x14ac:dyDescent="0.2">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c r="AA227" s="7"/>
      <c r="AB227" s="7"/>
      <c r="AC227" s="7"/>
      <c r="AD227" s="7"/>
      <c r="AE227" s="7"/>
      <c r="AF227" s="7"/>
      <c r="AG227" s="7"/>
      <c r="AH227" s="7"/>
      <c r="AI227" s="7"/>
    </row>
    <row r="228" spans="1:35" x14ac:dyDescent="0.2">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c r="AA228" s="7"/>
      <c r="AB228" s="7"/>
      <c r="AC228" s="7"/>
      <c r="AD228" s="7"/>
      <c r="AE228" s="7"/>
      <c r="AF228" s="7"/>
      <c r="AG228" s="7"/>
      <c r="AH228" s="7"/>
      <c r="AI228" s="7"/>
    </row>
    <row r="229" spans="1:35" x14ac:dyDescent="0.2">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c r="AA229" s="7"/>
      <c r="AB229" s="7"/>
      <c r="AC229" s="7"/>
      <c r="AD229" s="7"/>
      <c r="AE229" s="7"/>
      <c r="AF229" s="7"/>
      <c r="AG229" s="7"/>
      <c r="AH229" s="7"/>
      <c r="AI229" s="7"/>
    </row>
    <row r="230" spans="1:35" x14ac:dyDescent="0.2">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c r="AA230" s="7"/>
      <c r="AB230" s="7"/>
      <c r="AC230" s="7"/>
      <c r="AD230" s="7"/>
      <c r="AE230" s="7"/>
      <c r="AF230" s="7"/>
      <c r="AG230" s="7"/>
      <c r="AH230" s="7"/>
      <c r="AI230" s="7"/>
    </row>
    <row r="231" spans="1:35" x14ac:dyDescent="0.2">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c r="AA231" s="7"/>
      <c r="AB231" s="7"/>
      <c r="AC231" s="7"/>
      <c r="AD231" s="7"/>
      <c r="AE231" s="7"/>
      <c r="AF231" s="7"/>
      <c r="AG231" s="7"/>
      <c r="AH231" s="7"/>
      <c r="AI231" s="7"/>
    </row>
    <row r="232" spans="1:35" x14ac:dyDescent="0.2">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c r="AA232" s="7"/>
      <c r="AB232" s="7"/>
      <c r="AC232" s="7"/>
      <c r="AD232" s="7"/>
      <c r="AE232" s="7"/>
      <c r="AF232" s="7"/>
      <c r="AG232" s="7"/>
      <c r="AH232" s="7"/>
      <c r="AI232" s="7"/>
    </row>
    <row r="233" spans="1:35" x14ac:dyDescent="0.2">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c r="AA233" s="7"/>
      <c r="AB233" s="7"/>
      <c r="AC233" s="7"/>
      <c r="AD233" s="7"/>
      <c r="AE233" s="7"/>
      <c r="AF233" s="7"/>
      <c r="AG233" s="7"/>
      <c r="AH233" s="7"/>
      <c r="AI233" s="7"/>
    </row>
    <row r="234" spans="1:35" x14ac:dyDescent="0.2">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c r="AA234" s="7"/>
      <c r="AB234" s="7"/>
      <c r="AC234" s="7"/>
      <c r="AD234" s="7"/>
      <c r="AE234" s="7"/>
      <c r="AF234" s="7"/>
      <c r="AG234" s="7"/>
      <c r="AH234" s="7"/>
      <c r="AI234" s="7"/>
    </row>
    <row r="235" spans="1:35" x14ac:dyDescent="0.2">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c r="AA235" s="7"/>
      <c r="AB235" s="7"/>
      <c r="AC235" s="7"/>
      <c r="AD235" s="7"/>
      <c r="AE235" s="7"/>
      <c r="AF235" s="7"/>
      <c r="AG235" s="7"/>
      <c r="AH235" s="7"/>
      <c r="AI235" s="7"/>
    </row>
    <row r="236" spans="1:35" x14ac:dyDescent="0.2">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c r="AA236" s="7"/>
      <c r="AB236" s="7"/>
      <c r="AC236" s="7"/>
      <c r="AD236" s="7"/>
      <c r="AE236" s="7"/>
      <c r="AF236" s="7"/>
      <c r="AG236" s="7"/>
      <c r="AH236" s="7"/>
      <c r="AI236" s="7"/>
    </row>
    <row r="237" spans="1:35" x14ac:dyDescent="0.2">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c r="AA237" s="7"/>
      <c r="AB237" s="7"/>
      <c r="AC237" s="7"/>
      <c r="AD237" s="7"/>
      <c r="AE237" s="7"/>
      <c r="AF237" s="7"/>
      <c r="AG237" s="7"/>
      <c r="AH237" s="7"/>
      <c r="AI237" s="7"/>
    </row>
    <row r="238" spans="1:35" x14ac:dyDescent="0.2">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c r="AA238" s="7"/>
      <c r="AB238" s="7"/>
      <c r="AC238" s="7"/>
      <c r="AD238" s="7"/>
      <c r="AE238" s="7"/>
      <c r="AF238" s="7"/>
      <c r="AG238" s="7"/>
      <c r="AH238" s="7"/>
      <c r="AI238" s="7"/>
    </row>
    <row r="239" spans="1:35" x14ac:dyDescent="0.2">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c r="AA239" s="7"/>
      <c r="AB239" s="7"/>
      <c r="AC239" s="7"/>
      <c r="AD239" s="7"/>
      <c r="AE239" s="7"/>
      <c r="AF239" s="7"/>
      <c r="AG239" s="7"/>
      <c r="AH239" s="7"/>
      <c r="AI239" s="7"/>
    </row>
    <row r="240" spans="1:35" x14ac:dyDescent="0.2">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c r="AA240" s="7"/>
      <c r="AB240" s="7"/>
      <c r="AC240" s="7"/>
      <c r="AD240" s="7"/>
      <c r="AE240" s="7"/>
      <c r="AF240" s="7"/>
      <c r="AG240" s="7"/>
      <c r="AH240" s="7"/>
      <c r="AI240" s="7"/>
    </row>
    <row r="241" spans="1:35" x14ac:dyDescent="0.2">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c r="AA241" s="7"/>
      <c r="AB241" s="7"/>
      <c r="AC241" s="7"/>
      <c r="AD241" s="7"/>
      <c r="AE241" s="7"/>
      <c r="AF241" s="7"/>
      <c r="AG241" s="7"/>
      <c r="AH241" s="7"/>
      <c r="AI241" s="7"/>
    </row>
    <row r="242" spans="1:35" x14ac:dyDescent="0.2">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c r="AA242" s="7"/>
      <c r="AB242" s="7"/>
      <c r="AC242" s="7"/>
      <c r="AD242" s="7"/>
      <c r="AE242" s="7"/>
      <c r="AF242" s="7"/>
      <c r="AG242" s="7"/>
      <c r="AH242" s="7"/>
      <c r="AI242" s="7"/>
    </row>
    <row r="243" spans="1:35" x14ac:dyDescent="0.2">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c r="AA243" s="7"/>
      <c r="AB243" s="7"/>
      <c r="AC243" s="7"/>
      <c r="AD243" s="7"/>
      <c r="AE243" s="7"/>
      <c r="AF243" s="7"/>
      <c r="AG243" s="7"/>
      <c r="AH243" s="7"/>
      <c r="AI243" s="7"/>
    </row>
    <row r="244" spans="1:35" x14ac:dyDescent="0.2">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c r="AA244" s="7"/>
      <c r="AB244" s="7"/>
      <c r="AC244" s="7"/>
      <c r="AD244" s="7"/>
      <c r="AE244" s="7"/>
      <c r="AF244" s="7"/>
      <c r="AG244" s="7"/>
      <c r="AH244" s="7"/>
      <c r="AI244" s="7"/>
    </row>
    <row r="245" spans="1:35" x14ac:dyDescent="0.2">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c r="AA245" s="7"/>
      <c r="AB245" s="7"/>
      <c r="AC245" s="7"/>
      <c r="AD245" s="7"/>
      <c r="AE245" s="7"/>
      <c r="AF245" s="7"/>
      <c r="AG245" s="7"/>
      <c r="AH245" s="7"/>
      <c r="AI245" s="7"/>
    </row>
    <row r="246" spans="1:35" x14ac:dyDescent="0.2">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c r="AA246" s="7"/>
      <c r="AB246" s="7"/>
      <c r="AC246" s="7"/>
      <c r="AD246" s="7"/>
      <c r="AE246" s="7"/>
      <c r="AF246" s="7"/>
      <c r="AG246" s="7"/>
      <c r="AH246" s="7"/>
      <c r="AI246" s="7"/>
    </row>
    <row r="247" spans="1:35" x14ac:dyDescent="0.2">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c r="AA247" s="7"/>
      <c r="AB247" s="7"/>
      <c r="AC247" s="7"/>
      <c r="AD247" s="7"/>
      <c r="AE247" s="7"/>
      <c r="AF247" s="7"/>
      <c r="AG247" s="7"/>
      <c r="AH247" s="7"/>
      <c r="AI247" s="7"/>
    </row>
    <row r="248" spans="1:35" x14ac:dyDescent="0.2">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c r="AA248" s="7"/>
      <c r="AB248" s="7"/>
      <c r="AC248" s="7"/>
      <c r="AD248" s="7"/>
      <c r="AE248" s="7"/>
      <c r="AF248" s="7"/>
      <c r="AG248" s="7"/>
      <c r="AH248" s="7"/>
      <c r="AI248" s="7"/>
    </row>
    <row r="249" spans="1:35" x14ac:dyDescent="0.2">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c r="AA249" s="7"/>
      <c r="AB249" s="7"/>
      <c r="AC249" s="7"/>
      <c r="AD249" s="7"/>
      <c r="AE249" s="7"/>
      <c r="AF249" s="7"/>
      <c r="AG249" s="7"/>
      <c r="AH249" s="7"/>
      <c r="AI249" s="7"/>
    </row>
    <row r="250" spans="1:35" x14ac:dyDescent="0.2">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c r="AA250" s="7"/>
      <c r="AB250" s="7"/>
      <c r="AC250" s="7"/>
      <c r="AD250" s="7"/>
      <c r="AE250" s="7"/>
      <c r="AF250" s="7"/>
      <c r="AG250" s="7"/>
      <c r="AH250" s="7"/>
      <c r="AI250" s="7"/>
    </row>
    <row r="251" spans="1:35" x14ac:dyDescent="0.2">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c r="AA251" s="7"/>
      <c r="AB251" s="7"/>
      <c r="AC251" s="7"/>
      <c r="AD251" s="7"/>
      <c r="AE251" s="7"/>
      <c r="AF251" s="7"/>
      <c r="AG251" s="7"/>
      <c r="AH251" s="7"/>
      <c r="AI251" s="7"/>
    </row>
    <row r="252" spans="1:35" x14ac:dyDescent="0.2">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c r="AA252" s="7"/>
      <c r="AB252" s="7"/>
      <c r="AC252" s="7"/>
      <c r="AD252" s="7"/>
      <c r="AE252" s="7"/>
      <c r="AF252" s="7"/>
      <c r="AG252" s="7"/>
      <c r="AH252" s="7"/>
      <c r="AI252" s="7"/>
    </row>
  </sheetData>
  <mergeCells count="129">
    <mergeCell ref="D133:D134"/>
    <mergeCell ref="B101:B114"/>
    <mergeCell ref="C109:C110"/>
    <mergeCell ref="C138:E138"/>
    <mergeCell ref="C139:E139"/>
    <mergeCell ref="C140:E140"/>
    <mergeCell ref="C141:E141"/>
    <mergeCell ref="C142:E142"/>
    <mergeCell ref="C143:E143"/>
    <mergeCell ref="E109:E110"/>
    <mergeCell ref="C111:C112"/>
    <mergeCell ref="D111:D112"/>
    <mergeCell ref="C113:C114"/>
    <mergeCell ref="D113:D114"/>
    <mergeCell ref="C131:C132"/>
    <mergeCell ref="D131:D132"/>
    <mergeCell ref="C105:C106"/>
    <mergeCell ref="D105:D106"/>
    <mergeCell ref="C107:C108"/>
    <mergeCell ref="D107:D108"/>
    <mergeCell ref="E91:E92"/>
    <mergeCell ref="E93:E94"/>
    <mergeCell ref="E95:E96"/>
    <mergeCell ref="E97:E98"/>
    <mergeCell ref="E99:E100"/>
    <mergeCell ref="B127:B136"/>
    <mergeCell ref="E127:E128"/>
    <mergeCell ref="E129:E130"/>
    <mergeCell ref="E131:E132"/>
    <mergeCell ref="E133:E134"/>
    <mergeCell ref="E135:E136"/>
    <mergeCell ref="E111:E112"/>
    <mergeCell ref="E113:E114"/>
    <mergeCell ref="B115:B126"/>
    <mergeCell ref="E115:E116"/>
    <mergeCell ref="E117:E118"/>
    <mergeCell ref="E119:E120"/>
    <mergeCell ref="E121:E122"/>
    <mergeCell ref="E123:E124"/>
    <mergeCell ref="E125:E126"/>
    <mergeCell ref="C135:C136"/>
    <mergeCell ref="D135:D136"/>
    <mergeCell ref="C133:C134"/>
    <mergeCell ref="D109:D110"/>
    <mergeCell ref="D85:D86"/>
    <mergeCell ref="C87:C88"/>
    <mergeCell ref="D87:D88"/>
    <mergeCell ref="C89:C90"/>
    <mergeCell ref="B71:B72"/>
    <mergeCell ref="E101:E102"/>
    <mergeCell ref="E103:E104"/>
    <mergeCell ref="E105:E106"/>
    <mergeCell ref="E107:E108"/>
    <mergeCell ref="E71:E72"/>
    <mergeCell ref="B73:B80"/>
    <mergeCell ref="E73:E74"/>
    <mergeCell ref="E75:E76"/>
    <mergeCell ref="E77:E78"/>
    <mergeCell ref="E79:E80"/>
    <mergeCell ref="B81:B90"/>
    <mergeCell ref="E81:E82"/>
    <mergeCell ref="E83:E84"/>
    <mergeCell ref="E85:E86"/>
    <mergeCell ref="E87:E88"/>
    <mergeCell ref="E89:E90"/>
    <mergeCell ref="D89:D90"/>
    <mergeCell ref="D79:D80"/>
    <mergeCell ref="C81:C82"/>
    <mergeCell ref="D81:D82"/>
    <mergeCell ref="C83:C84"/>
    <mergeCell ref="D83:D84"/>
    <mergeCell ref="C85:C86"/>
    <mergeCell ref="C125:C126"/>
    <mergeCell ref="D125:D126"/>
    <mergeCell ref="C127:C128"/>
    <mergeCell ref="D127:D128"/>
    <mergeCell ref="C129:C130"/>
    <mergeCell ref="D129:D130"/>
    <mergeCell ref="C115:C116"/>
    <mergeCell ref="D115:D116"/>
    <mergeCell ref="C117:C118"/>
    <mergeCell ref="D117:D118"/>
    <mergeCell ref="C119:C120"/>
    <mergeCell ref="D119:D120"/>
    <mergeCell ref="C121:C122"/>
    <mergeCell ref="D121:D122"/>
    <mergeCell ref="C123:C124"/>
    <mergeCell ref="D123:D124"/>
    <mergeCell ref="C101:C102"/>
    <mergeCell ref="D101:D102"/>
    <mergeCell ref="C103:C104"/>
    <mergeCell ref="D103:D104"/>
    <mergeCell ref="B91:B100"/>
    <mergeCell ref="C91:C92"/>
    <mergeCell ref="D91:D92"/>
    <mergeCell ref="C93:C94"/>
    <mergeCell ref="D93:D94"/>
    <mergeCell ref="C95:C96"/>
    <mergeCell ref="D95:D96"/>
    <mergeCell ref="C97:C98"/>
    <mergeCell ref="D97:D98"/>
    <mergeCell ref="C99:C100"/>
    <mergeCell ref="D99:D100"/>
    <mergeCell ref="C71:C72"/>
    <mergeCell ref="D71:D72"/>
    <mergeCell ref="C73:C74"/>
    <mergeCell ref="D73:D74"/>
    <mergeCell ref="C75:C76"/>
    <mergeCell ref="D75:D76"/>
    <mergeCell ref="C77:C78"/>
    <mergeCell ref="D77:D78"/>
    <mergeCell ref="C79:C80"/>
    <mergeCell ref="B69:O69"/>
    <mergeCell ref="B3:F3"/>
    <mergeCell ref="B2:F2"/>
    <mergeCell ref="B67:D67"/>
    <mergeCell ref="B32:T32"/>
    <mergeCell ref="B29:T29"/>
    <mergeCell ref="B4:F4"/>
    <mergeCell ref="B5:F5"/>
    <mergeCell ref="B30:T30"/>
    <mergeCell ref="C34:F34"/>
    <mergeCell ref="G34:J34"/>
    <mergeCell ref="K34:N34"/>
    <mergeCell ref="O34:R34"/>
    <mergeCell ref="S34:V34"/>
    <mergeCell ref="D36:F36"/>
    <mergeCell ref="E37:F37"/>
    <mergeCell ref="H36:H52"/>
  </mergeCells>
  <pageMargins left="0.75" right="0.75" top="1" bottom="1" header="0.5" footer="0.5"/>
  <pageSetup orientation="portrait" horizontalDpi="1200" verticalDpi="12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3"/>
  </sheetPr>
  <dimension ref="A1:E26"/>
  <sheetViews>
    <sheetView showGridLines="0" zoomScaleNormal="100" workbookViewId="0">
      <pane xSplit="1" ySplit="3" topLeftCell="B20" activePane="bottomRight" state="frozen"/>
      <selection pane="topRight"/>
      <selection pane="bottomLeft"/>
      <selection pane="bottomRight" activeCell="D12" sqref="D12"/>
    </sheetView>
  </sheetViews>
  <sheetFormatPr baseColWidth="10" defaultColWidth="8.83203125" defaultRowHeight="15" x14ac:dyDescent="0.2"/>
  <cols>
    <col min="1" max="1" width="2.5" customWidth="1"/>
    <col min="2" max="2" width="28" customWidth="1"/>
    <col min="3" max="3" width="38" customWidth="1"/>
    <col min="4" max="4" width="78.5" customWidth="1"/>
  </cols>
  <sheetData>
    <row r="1" spans="1:5" x14ac:dyDescent="0.2">
      <c r="A1" s="7"/>
      <c r="B1" s="17"/>
      <c r="C1" s="17"/>
      <c r="D1" s="17"/>
      <c r="E1" s="7"/>
    </row>
    <row r="2" spans="1:5" ht="20" x14ac:dyDescent="0.25">
      <c r="A2" s="7"/>
      <c r="B2" s="239" t="s">
        <v>745</v>
      </c>
      <c r="C2" s="203"/>
      <c r="D2" s="203"/>
      <c r="E2" s="7"/>
    </row>
    <row r="3" spans="1:5" ht="40" customHeight="1" x14ac:dyDescent="0.2">
      <c r="A3" s="7"/>
      <c r="B3" s="164" t="s">
        <v>746</v>
      </c>
      <c r="C3" s="165"/>
      <c r="D3" s="166"/>
      <c r="E3" s="7"/>
    </row>
    <row r="4" spans="1:5" s="7" customFormat="1" ht="11" customHeight="1" x14ac:dyDescent="0.2">
      <c r="B4" s="23"/>
    </row>
    <row r="5" spans="1:5" s="7" customFormat="1" ht="40" customHeight="1" x14ac:dyDescent="0.2">
      <c r="B5" s="298" t="s">
        <v>747</v>
      </c>
      <c r="C5" s="299"/>
      <c r="D5" s="299"/>
    </row>
    <row r="6" spans="1:5" s="7" customFormat="1" ht="11" customHeight="1" x14ac:dyDescent="0.2">
      <c r="B6" s="23"/>
    </row>
    <row r="7" spans="1:5" ht="5" customHeight="1" x14ac:dyDescent="0.2">
      <c r="A7" s="7"/>
      <c r="B7" s="17"/>
      <c r="C7" s="17"/>
      <c r="D7" s="17"/>
      <c r="E7" s="7"/>
    </row>
    <row r="8" spans="1:5" ht="16" x14ac:dyDescent="0.2">
      <c r="A8" s="7"/>
      <c r="B8" s="9" t="s">
        <v>748</v>
      </c>
      <c r="C8" s="9" t="s">
        <v>749</v>
      </c>
      <c r="D8" s="9" t="s">
        <v>750</v>
      </c>
      <c r="E8" s="7"/>
    </row>
    <row r="9" spans="1:5" x14ac:dyDescent="0.2">
      <c r="A9" s="7"/>
      <c r="B9" s="11"/>
      <c r="C9" s="11"/>
      <c r="D9" s="11"/>
      <c r="E9" s="7"/>
    </row>
    <row r="10" spans="1:5" ht="48" x14ac:dyDescent="0.2">
      <c r="A10" s="7"/>
      <c r="B10" s="14" t="s">
        <v>751</v>
      </c>
      <c r="C10" s="15" t="s">
        <v>752</v>
      </c>
      <c r="D10" s="8" t="s">
        <v>753</v>
      </c>
      <c r="E10" s="7"/>
    </row>
    <row r="11" spans="1:5" ht="48" x14ac:dyDescent="0.2">
      <c r="A11" s="7"/>
      <c r="B11" s="14" t="s">
        <v>751</v>
      </c>
      <c r="C11" s="15" t="s">
        <v>754</v>
      </c>
      <c r="D11" s="8" t="s">
        <v>755</v>
      </c>
      <c r="E11" s="7"/>
    </row>
    <row r="12" spans="1:5" ht="114.75" customHeight="1" x14ac:dyDescent="0.2">
      <c r="A12" s="7"/>
      <c r="B12" s="14" t="s">
        <v>756</v>
      </c>
      <c r="C12" s="15" t="s">
        <v>757</v>
      </c>
      <c r="D12" s="8" t="s">
        <v>758</v>
      </c>
      <c r="E12" s="7"/>
    </row>
    <row r="13" spans="1:5" ht="80" x14ac:dyDescent="0.2">
      <c r="A13" s="7"/>
      <c r="B13" s="14" t="s">
        <v>756</v>
      </c>
      <c r="C13" s="15" t="s">
        <v>759</v>
      </c>
      <c r="D13" s="8" t="s">
        <v>760</v>
      </c>
      <c r="E13" s="7"/>
    </row>
    <row r="14" spans="1:5" ht="409.6" x14ac:dyDescent="0.2">
      <c r="A14" s="7"/>
      <c r="B14" s="14" t="s">
        <v>756</v>
      </c>
      <c r="C14" s="15" t="s">
        <v>761</v>
      </c>
      <c r="D14" s="8" t="s">
        <v>762</v>
      </c>
      <c r="E14" s="7"/>
    </row>
    <row r="15" spans="1:5" ht="409.6" x14ac:dyDescent="0.2">
      <c r="A15" s="7"/>
      <c r="B15" s="14" t="s">
        <v>763</v>
      </c>
      <c r="C15" s="15" t="s">
        <v>764</v>
      </c>
      <c r="D15" s="8" t="s">
        <v>765</v>
      </c>
      <c r="E15" s="7"/>
    </row>
    <row r="16" spans="1:5" ht="409.6" x14ac:dyDescent="0.2">
      <c r="A16" s="7"/>
      <c r="B16" s="14" t="s">
        <v>763</v>
      </c>
      <c r="C16" s="15" t="s">
        <v>766</v>
      </c>
      <c r="D16" s="8" t="s">
        <v>767</v>
      </c>
      <c r="E16" s="7"/>
    </row>
    <row r="17" spans="2:4" ht="64" x14ac:dyDescent="0.2">
      <c r="B17" s="14" t="s">
        <v>763</v>
      </c>
      <c r="C17" s="15" t="s">
        <v>768</v>
      </c>
      <c r="D17" s="8" t="s">
        <v>769</v>
      </c>
    </row>
    <row r="18" spans="2:4" ht="409.6" x14ac:dyDescent="0.2">
      <c r="B18" s="14" t="s">
        <v>770</v>
      </c>
      <c r="C18" s="15" t="s">
        <v>771</v>
      </c>
      <c r="D18" s="8" t="s">
        <v>772</v>
      </c>
    </row>
    <row r="19" spans="2:4" ht="409.6" x14ac:dyDescent="0.2">
      <c r="B19" s="14" t="s">
        <v>770</v>
      </c>
      <c r="C19" s="15" t="s">
        <v>773</v>
      </c>
      <c r="D19" s="8" t="s">
        <v>774</v>
      </c>
    </row>
    <row r="20" spans="2:4" ht="409.6" x14ac:dyDescent="0.2">
      <c r="B20" s="14" t="s">
        <v>770</v>
      </c>
      <c r="C20" s="15" t="s">
        <v>775</v>
      </c>
      <c r="D20" s="8" t="s">
        <v>776</v>
      </c>
    </row>
    <row r="21" spans="2:4" ht="80" x14ac:dyDescent="0.2">
      <c r="B21" s="14" t="s">
        <v>777</v>
      </c>
      <c r="C21" s="15" t="s">
        <v>778</v>
      </c>
      <c r="D21" s="8" t="s">
        <v>779</v>
      </c>
    </row>
    <row r="22" spans="2:4" ht="409.6" x14ac:dyDescent="0.2">
      <c r="B22" s="14" t="s">
        <v>780</v>
      </c>
      <c r="C22" s="15" t="s">
        <v>781</v>
      </c>
      <c r="D22" s="8" t="s">
        <v>782</v>
      </c>
    </row>
    <row r="23" spans="2:4" ht="409.6" x14ac:dyDescent="0.2">
      <c r="B23" s="14" t="s">
        <v>780</v>
      </c>
      <c r="C23" s="15" t="s">
        <v>783</v>
      </c>
      <c r="D23" s="8" t="s">
        <v>784</v>
      </c>
    </row>
    <row r="24" spans="2:4" ht="64" x14ac:dyDescent="0.2">
      <c r="B24" s="14" t="s">
        <v>785</v>
      </c>
      <c r="C24" s="15" t="s">
        <v>786</v>
      </c>
      <c r="D24" s="8" t="s">
        <v>787</v>
      </c>
    </row>
    <row r="25" spans="2:4" ht="64" x14ac:dyDescent="0.2">
      <c r="B25" s="14" t="s">
        <v>785</v>
      </c>
      <c r="C25" s="15" t="s">
        <v>788</v>
      </c>
      <c r="D25" s="8" t="s">
        <v>789</v>
      </c>
    </row>
    <row r="26" spans="2:4" ht="409.6" x14ac:dyDescent="0.2">
      <c r="B26" s="14" t="s">
        <v>790</v>
      </c>
      <c r="C26" s="15" t="s">
        <v>791</v>
      </c>
      <c r="D26" s="8" t="s">
        <v>792</v>
      </c>
    </row>
  </sheetData>
  <mergeCells count="3">
    <mergeCell ref="B3:D3"/>
    <mergeCell ref="B2:D2"/>
    <mergeCell ref="B5:D5"/>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94B396-03C1-42CE-B6D2-6F086A80C737}">
  <sheetPr>
    <tabColor theme="3"/>
  </sheetPr>
  <dimension ref="A1:T14"/>
  <sheetViews>
    <sheetView showGridLines="0" workbookViewId="0">
      <selection activeCell="B15" sqref="B15"/>
    </sheetView>
  </sheetViews>
  <sheetFormatPr baseColWidth="10" defaultColWidth="8.83203125" defaultRowHeight="15" x14ac:dyDescent="0.2"/>
  <cols>
    <col min="1" max="1" width="2.1640625" customWidth="1"/>
    <col min="2" max="8" width="29.83203125" customWidth="1"/>
  </cols>
  <sheetData>
    <row r="1" spans="1:20" x14ac:dyDescent="0.2">
      <c r="A1" s="7"/>
      <c r="B1" s="17"/>
      <c r="C1" s="17"/>
      <c r="D1" s="17"/>
      <c r="E1" s="7"/>
      <c r="F1" s="7"/>
      <c r="G1" s="7"/>
      <c r="H1" s="7"/>
      <c r="I1" s="7"/>
      <c r="J1" s="7"/>
      <c r="K1" s="7"/>
      <c r="L1" s="7"/>
      <c r="M1" s="7"/>
      <c r="N1" s="7"/>
      <c r="O1" s="7"/>
      <c r="P1" s="7"/>
      <c r="Q1" s="7"/>
      <c r="R1" s="7"/>
      <c r="S1" s="7"/>
      <c r="T1" s="7"/>
    </row>
    <row r="2" spans="1:20" ht="20" x14ac:dyDescent="0.25">
      <c r="A2" s="7"/>
      <c r="B2" s="239" t="s">
        <v>793</v>
      </c>
      <c r="C2" s="203"/>
      <c r="D2" s="203"/>
      <c r="E2" s="7"/>
      <c r="F2" s="7"/>
      <c r="G2" s="7"/>
      <c r="H2" s="7"/>
      <c r="I2" s="7"/>
      <c r="J2" s="7"/>
      <c r="K2" s="7"/>
      <c r="L2" s="7"/>
      <c r="M2" s="7"/>
      <c r="N2" s="7"/>
      <c r="O2" s="7"/>
      <c r="P2" s="7"/>
      <c r="Q2" s="7"/>
      <c r="R2" s="7"/>
      <c r="S2" s="7"/>
      <c r="T2" s="7"/>
    </row>
    <row r="3" spans="1:20" s="7" customFormat="1" ht="40" customHeight="1" x14ac:dyDescent="0.2">
      <c r="B3" s="23"/>
    </row>
    <row r="4" spans="1:20" s="40" customFormat="1" ht="14.5" customHeight="1" x14ac:dyDescent="0.2">
      <c r="A4" s="7"/>
      <c r="B4" s="301" t="s">
        <v>794</v>
      </c>
      <c r="C4" s="302"/>
      <c r="D4" s="302"/>
      <c r="E4" s="302"/>
      <c r="F4" s="302"/>
      <c r="G4" s="302"/>
    </row>
    <row r="5" spans="1:20" s="7" customFormat="1" ht="45" customHeight="1" x14ac:dyDescent="0.2">
      <c r="B5" s="300" t="s">
        <v>729</v>
      </c>
      <c r="C5" s="251"/>
      <c r="D5" s="251"/>
      <c r="E5" s="251"/>
      <c r="F5" s="251"/>
      <c r="G5" s="23"/>
      <c r="H5" s="23"/>
      <c r="I5" s="23"/>
      <c r="J5" s="23"/>
      <c r="K5" s="23"/>
      <c r="L5" s="23"/>
      <c r="M5" s="23"/>
      <c r="N5" s="23"/>
      <c r="O5" s="23"/>
      <c r="P5" s="23"/>
      <c r="Q5" s="23"/>
      <c r="R5" s="23"/>
      <c r="S5" s="23"/>
      <c r="T5" s="23"/>
    </row>
    <row r="6" spans="1:20" ht="32" x14ac:dyDescent="0.2">
      <c r="A6" s="7"/>
      <c r="B6" s="9" t="s">
        <v>600</v>
      </c>
      <c r="C6" s="9" t="s">
        <v>730</v>
      </c>
      <c r="D6" s="9" t="s">
        <v>731</v>
      </c>
      <c r="E6" s="9" t="s">
        <v>732</v>
      </c>
      <c r="F6" s="9" t="s">
        <v>733</v>
      </c>
      <c r="G6" s="9" t="s">
        <v>734</v>
      </c>
      <c r="H6" s="7"/>
      <c r="I6" s="7"/>
      <c r="J6" s="7"/>
      <c r="K6" s="7"/>
      <c r="L6" s="7"/>
      <c r="M6" s="7"/>
      <c r="N6" s="7"/>
      <c r="O6" s="7"/>
      <c r="P6" s="7"/>
      <c r="Q6" s="7"/>
      <c r="R6" s="7"/>
      <c r="S6" s="7"/>
      <c r="T6" s="7"/>
    </row>
    <row r="7" spans="1:20" x14ac:dyDescent="0.2">
      <c r="A7" s="7"/>
      <c r="B7" s="11"/>
      <c r="C7" s="11"/>
      <c r="D7" s="11"/>
      <c r="E7" s="11"/>
      <c r="F7" s="7"/>
      <c r="G7" s="7"/>
      <c r="H7" s="7"/>
      <c r="I7" s="7"/>
      <c r="J7" s="7"/>
      <c r="K7" s="7"/>
      <c r="L7" s="7"/>
      <c r="M7" s="7"/>
      <c r="N7" s="7"/>
      <c r="O7" s="7"/>
      <c r="P7" s="7"/>
      <c r="Q7" s="7"/>
      <c r="R7" s="7"/>
      <c r="S7" s="7"/>
      <c r="T7" s="7"/>
    </row>
    <row r="8" spans="1:20" ht="16" x14ac:dyDescent="0.2">
      <c r="A8" s="7"/>
      <c r="B8" s="8" t="s">
        <v>735</v>
      </c>
      <c r="C8" s="24" t="s">
        <v>795</v>
      </c>
      <c r="D8" s="24" t="s">
        <v>795</v>
      </c>
      <c r="E8" s="24" t="s">
        <v>795</v>
      </c>
      <c r="F8" s="24" t="s">
        <v>795</v>
      </c>
      <c r="G8" s="24" t="s">
        <v>795</v>
      </c>
      <c r="H8" s="7"/>
      <c r="I8" s="7"/>
      <c r="J8" s="7"/>
      <c r="K8" s="7"/>
      <c r="L8" s="7"/>
      <c r="M8" s="7"/>
      <c r="N8" s="7"/>
      <c r="O8" s="7"/>
      <c r="P8" s="7"/>
      <c r="Q8" s="7"/>
      <c r="R8" s="7"/>
      <c r="S8" s="7"/>
      <c r="T8" s="7"/>
    </row>
    <row r="9" spans="1:20" ht="16" x14ac:dyDescent="0.2">
      <c r="A9" s="7"/>
      <c r="B9" s="8" t="s">
        <v>738</v>
      </c>
      <c r="C9" s="8"/>
      <c r="D9" s="8"/>
      <c r="E9" s="8"/>
      <c r="F9" s="8"/>
      <c r="G9" s="8"/>
      <c r="H9" s="7"/>
      <c r="I9" s="7"/>
      <c r="J9" s="7"/>
      <c r="K9" s="7"/>
      <c r="L9" s="7"/>
      <c r="M9" s="7"/>
      <c r="N9" s="7"/>
      <c r="O9" s="7"/>
      <c r="P9" s="7"/>
      <c r="Q9" s="7"/>
      <c r="R9" s="7"/>
      <c r="S9" s="7"/>
      <c r="T9" s="7"/>
    </row>
    <row r="10" spans="1:20" s="7" customFormat="1" ht="16" x14ac:dyDescent="0.2">
      <c r="B10" s="8" t="s">
        <v>739</v>
      </c>
      <c r="C10" s="8"/>
      <c r="D10" s="8"/>
      <c r="E10" s="8"/>
      <c r="F10" s="8"/>
      <c r="G10" s="8"/>
    </row>
    <row r="11" spans="1:20" s="7" customFormat="1" ht="16" x14ac:dyDescent="0.2">
      <c r="B11" s="8" t="s">
        <v>740</v>
      </c>
      <c r="C11" s="8"/>
      <c r="D11" s="8"/>
      <c r="E11" s="8"/>
      <c r="F11" s="8"/>
      <c r="G11" s="8"/>
    </row>
    <row r="12" spans="1:20" s="7" customFormat="1" ht="16" x14ac:dyDescent="0.2">
      <c r="B12" s="8" t="s">
        <v>742</v>
      </c>
      <c r="C12" s="8"/>
      <c r="D12" s="8"/>
      <c r="E12" s="8"/>
      <c r="F12" s="8"/>
      <c r="G12" s="8"/>
    </row>
    <row r="14" spans="1:20" ht="24" x14ac:dyDescent="0.3">
      <c r="A14" s="7"/>
      <c r="B14" s="313" t="s">
        <v>810</v>
      </c>
      <c r="C14" s="314"/>
      <c r="D14" s="314"/>
      <c r="E14" s="314"/>
      <c r="F14" s="315"/>
      <c r="G14" s="315"/>
      <c r="H14" s="7"/>
      <c r="I14" s="7"/>
      <c r="J14" s="7"/>
      <c r="K14" s="7"/>
      <c r="L14" s="7"/>
      <c r="M14" s="7"/>
      <c r="N14" s="7"/>
      <c r="O14" s="7"/>
      <c r="P14" s="7"/>
      <c r="Q14" s="7"/>
      <c r="R14" s="7"/>
      <c r="S14" s="7"/>
      <c r="T14" s="7"/>
    </row>
  </sheetData>
  <mergeCells count="3">
    <mergeCell ref="B5:F5"/>
    <mergeCell ref="B2:D2"/>
    <mergeCell ref="B4:G4"/>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CopiedFrom xmlns="c93d0f0f-3cc9-4425-a3ca-a970db1fbb2c" xsi:nil="true"/>
    <TaxCatchAll xmlns="2e68cf6c-51ba-4f32-8108-1b311084bf44" xsi:nil="true"/>
    <lcf76f155ced4ddcb4097134ff3c332f xmlns="c93d0f0f-3cc9-4425-a3ca-a970db1fbb2c">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8E0EE32BB6DC8E44A4FDB7FCD1B6EAD6" ma:contentTypeVersion="20" ma:contentTypeDescription="Criar um novo documento." ma:contentTypeScope="" ma:versionID="4fff3de12a2c94f94c8725dff19c6f7c">
  <xsd:schema xmlns:xsd="http://www.w3.org/2001/XMLSchema" xmlns:xs="http://www.w3.org/2001/XMLSchema" xmlns:p="http://schemas.microsoft.com/office/2006/metadata/properties" xmlns:ns2="c93d0f0f-3cc9-4425-a3ca-a970db1fbb2c" xmlns:ns3="2e68cf6c-51ba-4f32-8108-1b311084bf44" targetNamespace="http://schemas.microsoft.com/office/2006/metadata/properties" ma:root="true" ma:fieldsID="72f0af40e16778b0de8f2170d310f010" ns2:_="" ns3:_="">
    <xsd:import namespace="c93d0f0f-3cc9-4425-a3ca-a970db1fbb2c"/>
    <xsd:import namespace="2e68cf6c-51ba-4f32-8108-1b311084bf44"/>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element ref="ns2:MediaServiceDateTaken" minOccurs="0"/>
                <xsd:element ref="ns2:MediaServiceObjectDetectorVersions" minOccurs="0"/>
                <xsd:element ref="ns2:MediaServiceSearchProperties" minOccurs="0"/>
                <xsd:element ref="ns2:MediaServiceBillingMetadata" minOccurs="0"/>
                <xsd:element ref="ns2:MediaServiceLocation" minOccurs="0"/>
                <xsd:element ref="ns2:CopiedFrom"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93d0f0f-3cc9-4425-a3ca-a970db1fbb2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lcf76f155ced4ddcb4097134ff3c332f" ma:index="15" nillable="true" ma:taxonomy="true" ma:internalName="lcf76f155ced4ddcb4097134ff3c332f" ma:taxonomyFieldName="MediaServiceImageTags" ma:displayName="Etiquetas de Imagem" ma:readOnly="false" ma:fieldId="{5cf76f15-5ced-4ddc-b409-7134ff3c332f}" ma:taxonomyMulti="true" ma:sspId="47bde53e-b0a2-4e98-8550-8a152603f3a2"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MediaServiceDateTaken" ma:index="21" nillable="true" ma:displayName="MediaServiceDateTaken" ma:hidden="true" ma:indexed="true" ma:internalName="MediaServiceDateTaken" ma:readOnly="true">
      <xsd:simpleType>
        <xsd:restriction base="dms:Text"/>
      </xsd:simple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ServiceBillingMetadata" ma:index="24" nillable="true" ma:displayName="MediaServiceBillingMetadata" ma:hidden="true" ma:internalName="MediaServiceBillingMetadata" ma:readOnly="true">
      <xsd:simpleType>
        <xsd:restriction base="dms:Note"/>
      </xsd:simpleType>
    </xsd:element>
    <xsd:element name="MediaServiceLocation" ma:index="25" nillable="true" ma:displayName="Location" ma:indexed="true" ma:internalName="MediaServiceLocation" ma:readOnly="true">
      <xsd:simpleType>
        <xsd:restriction base="dms:Text"/>
      </xsd:simpleType>
    </xsd:element>
    <xsd:element name="CopiedFrom" ma:index="26" nillable="true" ma:displayName="Copied From" ma:description="Where the folder was originally copied from (ex: SF or D&amp;A)" ma:format="Dropdown" ma:internalName="CopiedFrom">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e68cf6c-51ba-4f32-8108-1b311084bf44" elementFormDefault="qualified">
    <xsd:import namespace="http://schemas.microsoft.com/office/2006/documentManagement/types"/>
    <xsd:import namespace="http://schemas.microsoft.com/office/infopath/2007/PartnerControls"/>
    <xsd:element name="SharedWithUsers" ma:index="10" nillable="true" ma:displayName="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hes de Partilhado Com" ma:internalName="SharedWithDetails" ma:readOnly="true">
      <xsd:simpleType>
        <xsd:restriction base="dms:Note">
          <xsd:maxLength value="255"/>
        </xsd:restriction>
      </xsd:simpleType>
    </xsd:element>
    <xsd:element name="TaxCatchAll" ma:index="16" nillable="true" ma:displayName="Taxonomy Catch All Column" ma:hidden="true" ma:list="{ee5ec7c1-feff-4c49-9161-61b386a4c22d}" ma:internalName="TaxCatchAll" ma:showField="CatchAllData" ma:web="2e68cf6c-51ba-4f32-8108-1b311084bf4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E33118E-DF30-40A8-80AC-1D7915C7F5B8}">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70507208-F73E-4BC9-ABEA-ED2788D8C041}"/>
</file>

<file path=customXml/itemProps3.xml><?xml version="1.0" encoding="utf-8"?>
<ds:datastoreItem xmlns:ds="http://schemas.openxmlformats.org/officeDocument/2006/customXml" ds:itemID="{61F8BDA5-E393-462F-924D-CC29418F4253}">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9</vt:i4>
      </vt:variant>
    </vt:vector>
  </HeadingPairs>
  <TitlesOfParts>
    <vt:vector size="9" baseType="lpstr">
      <vt:lpstr>1.0  Table of Contents</vt:lpstr>
      <vt:lpstr>2.0  Industry Experience</vt:lpstr>
      <vt:lpstr>3.0  Relevant Experience</vt:lpstr>
      <vt:lpstr>4.0  Workforce &amp; Delivery</vt:lpstr>
      <vt:lpstr>5.0  Technology Solution</vt:lpstr>
      <vt:lpstr>6.0  Pricing</vt:lpstr>
      <vt:lpstr>7.0  Client Migration</vt:lpstr>
      <vt:lpstr>8.0  Regulatory Compliance</vt:lpstr>
      <vt:lpstr>9.0 Client EfficiencyAssumption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ASHISH THAKUR</cp:lastModifiedBy>
  <cp:revision/>
  <dcterms:created xsi:type="dcterms:W3CDTF">2026-03-11T22:03:33Z</dcterms:created>
  <dcterms:modified xsi:type="dcterms:W3CDTF">2026-03-27T01:06:06Z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0x0101008E0EE32BB6DC8E44A4FDB7FCD1B6EAD6</vt:lpwstr>
  </property>
</Properties>
</file>