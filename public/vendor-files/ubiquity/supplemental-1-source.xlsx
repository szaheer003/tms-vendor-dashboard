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xr:revisionPtr revIDLastSave="1" documentId="11_4B73BC2DCD2C97F4F64E96029D71CF345EADCD3C" xr6:coauthVersionLast="47" xr6:coauthVersionMax="47" xr10:uidLastSave="{0447ADE6-9802-4192-956C-DAD64DC08428}"/>
  <bookViews>
    <workbookView xWindow="0" yWindow="0" windowWidth="0" windowHeight="0" activeTab="2" xr2:uid="{00000000-000D-0000-FFFF-FFFF00000000}"/>
  </bookViews>
  <sheets>
    <sheet name="Vendor Info" sheetId="1" r:id="rId1"/>
    <sheet name="Guidance" sheetId="2" r:id="rId2"/>
    <sheet name="Questionnaire" sheetId="3" r:id="rId3"/>
  </sheets>
  <definedNames>
    <definedName name="VendorLegalName">'Vendor Info'!$B$4</definedName>
    <definedName name="VendorRFPVersion">'Vendor Info'!$B$12</definedName>
    <definedName name="VendorSubmissionDate">'Vendor Info'!$B$11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wDqZMPEyFVrN0LY2lb7z5ZI2ItAbNnLB1pIii3S+yDk="/>
    </ext>
  </extLst>
</workbook>
</file>

<file path=xl/calcChain.xml><?xml version="1.0" encoding="utf-8"?>
<calcChain xmlns="http://schemas.openxmlformats.org/spreadsheetml/2006/main">
  <c r="J118" i="3" l="1"/>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B7" i="3"/>
  <c r="B6" i="3"/>
  <c r="B8" i="3" s="1"/>
  <c r="B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12" authorId="0" shapeId="0" xr:uid="{00000000-0006-0000-0200-000002000000}">
      <text>
        <r>
          <rPr>
            <sz val="11"/>
            <color theme="1"/>
            <rFont val="Calibri"/>
            <scheme val="minor"/>
          </rPr>
          <t>======
ID#AAAB10PiSnA
Stuart Littler    (2026-03-18 20:44:13)
@jay.hammans@ubiquity.com what do we want to provide here. It looks like they have a requirement.
_Assigned to jay.hammans@ubiquity.com_</t>
        </r>
      </text>
    </comment>
    <comment ref="G15" authorId="0" shapeId="0" xr:uid="{00000000-0006-0000-0200-000001000000}">
      <text>
        <r>
          <rPr>
            <sz val="11"/>
            <color theme="1"/>
            <rFont val="Calibri"/>
            <scheme val="minor"/>
          </rPr>
          <t>======
ID#AAAB10PiSnM
Stuart Littler    (2026-03-18 20:48:38)
@jay.hammans@ubiquity.com reach out to Sagar and see if we can use Netspend.
_Assigned to jay.hammans@ubiquity.com_</t>
        </r>
      </text>
    </comment>
  </commentList>
  <extLst>
    <ext xmlns:r="http://schemas.openxmlformats.org/officeDocument/2006/relationships" uri="GoogleSheetsCustomDataVersion2">
      <go:sheetsCustomData xmlns:go="http://customooxmlschemas.google.com/" r:id="rId1" roundtripDataSignature="AMtx7miIRfsZRZHtZp6RGBXq2YQkBYPF9Q=="/>
    </ext>
  </extLst>
</comments>
</file>

<file path=xl/sharedStrings.xml><?xml version="1.0" encoding="utf-8"?>
<sst xmlns="http://schemas.openxmlformats.org/spreadsheetml/2006/main" count="939" uniqueCount="309">
  <si>
    <t>Vendor Questionnaire Response Template</t>
  </si>
  <si>
    <t>Contact Center &amp; Back Office Services RFP</t>
  </si>
  <si>
    <t>Vendor Details</t>
  </si>
  <si>
    <t>Vendor legal name</t>
  </si>
  <si>
    <t>Ubiquity Global Services, Inc.</t>
  </si>
  <si>
    <t>Parent company (if any)</t>
  </si>
  <si>
    <r>
      <rPr>
        <sz val="11"/>
        <color rgb="FF000000"/>
        <rFont val="Microsoft Sans Serif"/>
      </rPr>
      <t>Ubiquity is not a subsidiary and operates as an independent, privately held company.</t>
    </r>
  </si>
  <si>
    <t>Primary contact name</t>
  </si>
  <si>
    <t>Jay Hammans</t>
  </si>
  <si>
    <t>Title</t>
  </si>
  <si>
    <t>SVP, Strategic Accounts</t>
  </si>
  <si>
    <t>Email</t>
  </si>
  <si>
    <r>
      <rPr>
        <sz val="11"/>
        <color rgb="FF000000"/>
        <rFont val="Microsoft Sans Serif"/>
      </rPr>
      <t>Ubiquity will provide copies of its most recent audited financial statements for each of the last three completed fiscal years through a secure email address provided by the customer, and will share the information and documents using secured email for compliance purposes.</t>
    </r>
  </si>
  <si>
    <t>Phone</t>
  </si>
  <si>
    <r>
      <rPr>
        <sz val="11"/>
        <color rgb="FF000000"/>
        <rFont val="Microsoft Sans Serif"/>
      </rPr>
      <t>Ubiquity supports phone as a primary channel and can also support omnichannel service, including in-app, email, and chat.</t>
    </r>
    <r>
      <rPr>
        <sz val="11"/>
        <color rgb="FF0000FF"/>
        <rFont val="Calibri"/>
      </rPr>
      <t xml:space="preserve">
</t>
    </r>
    <r>
      <rPr>
        <sz val="11"/>
        <color rgb="FF000000"/>
        <rFont val="Microsoft Sans Serif"/>
      </rPr>
      <t>It integrates with client programs as an extension of the client’s team, using existing tools while addressing security issues prior to launch and aligning on required tools, websites, and workflows .</t>
    </r>
    <r>
      <rPr>
        <sz val="11"/>
        <color rgb="FF0000FF"/>
        <rFont val="Calibri"/>
      </rPr>
      <t xml:space="preserve">
</t>
    </r>
    <r>
      <rPr>
        <sz val="11"/>
        <color rgb="FF000000"/>
        <rFont val="Microsoft Sans Serif"/>
      </rPr>
      <t>If a client does not have a telephony system, Ubiquity provides an AVAYA-based infrastructure that supports inbound and outbound communications, hosts its own IVRs, and can create complex call flows for caller authentication and self-service .</t>
    </r>
    <r>
      <rPr>
        <sz val="11"/>
        <color rgb="FF0000FF"/>
        <rFont val="Calibri"/>
      </rPr>
      <t xml:space="preserve">
</t>
    </r>
    <r>
      <rPr>
        <sz val="11"/>
        <color rgb="FF000000"/>
        <rFont val="Microsoft Sans Serif"/>
      </rPr>
      <t>It also supports integration with major softphone platforms, including Twilio Flex, Zendesk, Genesys, TalkDesk, and Amazon Connect, and can accommodate client-hosted or managed telephony platforms .</t>
    </r>
    <r>
      <rPr>
        <sz val="11"/>
        <color rgb="FF0000FF"/>
        <rFont val="Calibri"/>
      </rPr>
      <t xml:space="preserve">
</t>
    </r>
    <r>
      <rPr>
        <sz val="11"/>
        <color rgb="FF000000"/>
        <rFont val="Microsoft Sans Serif"/>
      </rPr>
      <t>The inTouch® system provides agents with visibility into the caller’s IVR path and supports real-time monitoring, reporting, and analytics, including call recording, agent availability tracking, and secure access controls.</t>
    </r>
  </si>
  <si>
    <t>Address</t>
  </si>
  <si>
    <r>
      <rPr>
        <sz val="11"/>
        <color rgb="FF000000"/>
        <rFont val="Microsoft Sans Serif"/>
      </rPr>
      <t>568 Broadway, #601 New York, NY 10012.</t>
    </r>
    <r>
      <rPr>
        <sz val="11"/>
        <color rgb="FF0000FF"/>
        <rFont val="Calibri"/>
      </rPr>
      <t xml:space="preserve">
</t>
    </r>
    <r>
      <rPr>
        <sz val="11"/>
        <color rgb="FF000000"/>
        <rFont val="Microsoft Sans Serif"/>
      </rPr>
      <t>Ubiquity is headquartered in New York, NY.</t>
    </r>
  </si>
  <si>
    <t>Submission date (YYYY-MM-DD)</t>
  </si>
  <si>
    <t/>
  </si>
  <si>
    <t>RFP reference / version</t>
  </si>
  <si>
    <t>How to respond</t>
  </si>
  <si>
    <t>Instructions</t>
  </si>
  <si>
    <t>1) Enter your responses in the 'Questionnaire' sheet.</t>
  </si>
  <si>
    <t>2) If a question is not applicable, enter 'N/A' and briefly explain why.</t>
  </si>
  <si>
    <t>3) When attachments are requested, provide a URL/link or file name in the Attachment(s)/URL(s) column.</t>
  </si>
  <si>
    <t>4) For 'Yes/No + Narrative' items, select Yes/No/N/A in the Y/N/N/A column and add supporting detail in the Narrative column.</t>
  </si>
  <si>
    <t>5) If you need more space, add rows below the question and repeat the Question ID.</t>
  </si>
  <si>
    <t>Response type guidance</t>
  </si>
  <si>
    <t>Response Type</t>
  </si>
  <si>
    <t>Provide</t>
  </si>
  <si>
    <t>Where to respond</t>
  </si>
  <si>
    <t>Narrative</t>
  </si>
  <si>
    <t>Written narrative response</t>
  </si>
  <si>
    <t>Questionnaire: Vendor Response (Narrative/Table)</t>
  </si>
  <si>
    <t>Table</t>
  </si>
  <si>
    <t>Structured table (paste if small; otherwise attach)</t>
  </si>
  <si>
    <t>Questionnaire: Vendor Response (Narrative/Table) or Attachment(s)/URL(s)</t>
  </si>
  <si>
    <t>Attachment</t>
  </si>
  <si>
    <t>Document/report/sample artifact</t>
  </si>
  <si>
    <t>Questionnaire: Attachment(s)/URL(s)</t>
  </si>
  <si>
    <t>Narrative / Attachment</t>
  </si>
  <si>
    <t>Narrative plus supporting document</t>
  </si>
  <si>
    <t>Questionnaire: Narrative + Attachment(s)/URL(s)</t>
  </si>
  <si>
    <t>Attachment + Narrative</t>
  </si>
  <si>
    <t>Supporting document plus explanation</t>
  </si>
  <si>
    <t>Questionnaire: Attachment(s)/URL(s) + Narrative</t>
  </si>
  <si>
    <t>Yes/No + Narrative</t>
  </si>
  <si>
    <t>Select Yes/No/N/A and provide explanation</t>
  </si>
  <si>
    <t>Questionnaire: Y/N/N/A + Narrative</t>
  </si>
  <si>
    <t>Narrative / Gantt</t>
  </si>
  <si>
    <t>Implementation plan and timeline (Gantt)</t>
  </si>
  <si>
    <t>Narrative / Metrics</t>
  </si>
  <si>
    <t>KPIs/SLAs and definitions</t>
  </si>
  <si>
    <t>Questionnaire: Narrative (+ Attachment(s)/URL(s) if needed)</t>
  </si>
  <si>
    <t>Narrative / Sample Reports</t>
  </si>
  <si>
    <t>Examples of reports/dashboards</t>
  </si>
  <si>
    <t>Vendor Questionnaire (Responses)</t>
  </si>
  <si>
    <t>Answer each question. Yellow cells are for vendor input.</t>
  </si>
  <si>
    <t>Progress summary</t>
  </si>
  <si>
    <t>Total questions</t>
  </si>
  <si>
    <t>Required questions</t>
  </si>
  <si>
    <t>Completed (required)</t>
  </si>
  <si>
    <t>Completion % (required)</t>
  </si>
  <si>
    <t>ID</t>
  </si>
  <si>
    <t>Category</t>
  </si>
  <si>
    <t>Question</t>
  </si>
  <si>
    <t>Required</t>
  </si>
  <si>
    <t>Y/N/N/A</t>
  </si>
  <si>
    <t>Vendor Response (Narrative/Table)</t>
  </si>
  <si>
    <t>Attachment(s) / URL(s)</t>
  </si>
  <si>
    <t>Notes / Assumptions</t>
  </si>
  <si>
    <t>Status</t>
  </si>
  <si>
    <t>A. Company Profile</t>
  </si>
  <si>
    <t>Provide a brief overview of your company, including ownership structure, years in operation, and primary service offerings.</t>
  </si>
  <si>
    <t>Yes</t>
  </si>
  <si>
    <t>Y</t>
  </si>
  <si>
    <t>Ubiquity is a privately held business process outsourcing (BPO) provider founded in 2012, with 14 years of operational experience. The company specializes in customer experience (CX), back-office operations, and risk &amp; compliance services, supporting global clients across multiple industries.
Primary service offerings include:
• Customer Experience (CX): Omnichannel support (voice, chat, email, SMS), technical support, sales, retention, and collections.
• Risk &amp; Compliance: Identity verification, fraud prevention, chargeback management, and regulatory support.
• Back-Office Services: Data processing, reporting, analytics, and operational support.
• Consulting &amp; Optimization: Workforce management, QA design, process improvement, and digital transformation.
• Global Delivery: 24/7/365 operations across onshore, nearshore, and offshore sites with multilingual capabilities.
Ubiquity delivers flexible engagement models and scalable operations supported by technology, analytics, and experienced leadership teams.</t>
  </si>
  <si>
    <t>Provide your financial stability overview (e.g., most recent annual revenue range, profitability trend) and confirm ability to support multi-year engagement.</t>
  </si>
  <si>
    <t>Ubiquity is financially stable and supports long-term, multi-year client engagements across global operations.
While detailed financial statements are shared under NDA during contracting, Ubiquity maintains consistent revenue growth, strong client retention, and profitability across its portfolio.
The company has demonstrated the ability to scale large programs (e.g., ramping 300 to 1,000 FTEs) and invest in infrastructure, technology, and talent to support enterprise clients over multi-year engagements.</t>
  </si>
  <si>
    <t>List your primary contact center delivery locations (country/city), including seat capacity and language capabilities.</t>
  </si>
  <si>
    <r>
      <rPr>
        <sz val="11"/>
        <color theme="1"/>
        <rFont val="Calibri"/>
      </rPr>
      <t xml:space="preserve">Ubiquity operates a global delivery network across the Americas, EMEA, and APAC regions:
</t>
    </r>
    <r>
      <rPr>
        <b/>
        <sz val="11"/>
        <color theme="1"/>
        <rFont val="Calibri"/>
      </rPr>
      <t>United States</t>
    </r>
    <r>
      <rPr>
        <sz val="11"/>
        <color theme="1"/>
        <rFont val="Calibri"/>
      </rPr>
      <t xml:space="preserve">
• New York, NY  
• Mission, TX
</t>
    </r>
    <r>
      <rPr>
        <b/>
        <sz val="11"/>
        <color theme="1"/>
        <rFont val="Calibri"/>
      </rPr>
      <t>LATAM</t>
    </r>
    <r>
      <rPr>
        <sz val="11"/>
        <color theme="1"/>
        <rFont val="Calibri"/>
      </rPr>
      <t xml:space="preserve">
• Bogotá, Colombia  
• San Salvador, El Salvador (2 sites)  
• San Pedro Sula, Honduras  
• Mérida, Mexico  
• Guatemala City, Guatemala  
</t>
    </r>
    <r>
      <rPr>
        <b/>
        <sz val="11"/>
        <color theme="1"/>
        <rFont val="Calibri"/>
      </rPr>
      <t>EMEA</t>
    </r>
    <r>
      <rPr>
        <sz val="11"/>
        <color theme="1"/>
        <rFont val="Calibri"/>
      </rPr>
      <t xml:space="preserve">
• Accra, Ghana  
• Manchester, United Kingdom  
</t>
    </r>
    <r>
      <rPr>
        <b/>
        <sz val="11"/>
        <color theme="1"/>
        <rFont val="Calibri"/>
      </rPr>
      <t>APAC</t>
    </r>
    <r>
      <rPr>
        <sz val="11"/>
        <color theme="1"/>
        <rFont val="Calibri"/>
      </rPr>
      <t xml:space="preserve">
• Manila, Philippines (2 sites)  
• Laguna, Philippines  
• Bacolod, Philippines (2 sites)  
• Cagayan de Oro, Philippines  
</t>
    </r>
    <r>
      <rPr>
        <b/>
        <sz val="11"/>
        <color theme="1"/>
        <rFont val="Calibri"/>
      </rPr>
      <t>Langauge Capabilities</t>
    </r>
    <r>
      <rPr>
        <sz val="11"/>
        <color theme="1"/>
        <rFont val="Calibri"/>
      </rPr>
      <t xml:space="preserve">
English, Spanish, French, German, Portuguese, Tagalog, Japanese, Korean, Mandarin, Cantonese, Hindi, Arabic, and other regional languages.
Capacity scales dynamically based on program needs across sites.</t>
    </r>
  </si>
  <si>
    <t>Describe your experience supporting U.S.-based consumer financial services (e.g., lending, servicing, collections). Include years of experience and client examples.</t>
  </si>
  <si>
    <r>
      <rPr>
        <sz val="11"/>
        <color theme="1"/>
        <rFont val="Calibri"/>
      </rPr>
      <t xml:space="preserve">Ubiquity has over a decade of experience (since 2012) supporting U.S.-based consumer financial services clients, including fintechs, digital lenders, and credit providers.
</t>
    </r>
    <r>
      <rPr>
        <b/>
        <sz val="11"/>
        <color theme="1"/>
        <rFont val="Calibri"/>
      </rPr>
      <t>Lending &amp; Servicing</t>
    </r>
    <r>
      <rPr>
        <sz val="11"/>
        <color theme="1"/>
        <rFont val="Calibri"/>
      </rPr>
      <t xml:space="preserve">
• Supports $50B+ in managed loan portfolios  
• Processes 2M+ monthly interactions  
• Services include onboarding, verification, servicing, and portfolio transfers  
</t>
    </r>
    <r>
      <rPr>
        <b/>
        <sz val="11"/>
        <color theme="1"/>
        <rFont val="Calibri"/>
      </rPr>
      <t>Collections</t>
    </r>
    <r>
      <rPr>
        <sz val="11"/>
        <color theme="1"/>
        <rFont val="Calibri"/>
      </rPr>
      <t xml:space="preserve">
• Supporting collections since 2015  
• Achieved up to 15% improvement in collection rates  
• Compliance-first approach aligned with FDCPA  
</t>
    </r>
    <r>
      <rPr>
        <b/>
        <sz val="11"/>
        <color theme="1"/>
        <rFont val="Calibri"/>
      </rPr>
      <t>Card &amp; Account Services</t>
    </r>
    <r>
      <rPr>
        <sz val="11"/>
        <color theme="1"/>
        <rFont val="Calibri"/>
      </rPr>
      <t xml:space="preserve">
• End-to-end credit card servicing (activation, disputes, payments, rewards)  
Ubiquity combines operational scale with regulatory compliance and customer-centric delivery.</t>
    </r>
  </si>
  <si>
    <t>Provide at least three relevant client references for comparable scope (voice + back office and/or staff augmentation).</t>
  </si>
  <si>
    <t xml:space="preserve">Meduit, </t>
  </si>
  <si>
    <t>B. Proposed Solution</t>
  </si>
  <si>
    <t>Describe your proposed operating model for this engagement (staff augmentation vs managed services vs hybrid).</t>
  </si>
  <si>
    <t>Ubiquity supports flexible operating models, including staff augmentation, managed services, and hybrid delivery.
For this engagement, Ubiquity proposes a staffing model comprised of local and gloabl support combining:
• Dedicated teams aligned to client processes and KPIs  
• Embedded leadership and QA oversight  
• Scalable staffing across global delivery sites  
This approach enables operational control, flexibility, and cost efficiency while maintaining consistent service quality.
Delivery can be fully onshore, offshore, or blended based on client requirements.</t>
  </si>
  <si>
    <t>Confirm ability to support the hours of operation (Mon–Fri 7:00am–11:00pm CT; Sat 7:00am–5:00pm CT) and describe any constraints.</t>
  </si>
  <si>
    <t>Ubiquity can fully support the required hours of operation:
• Monday–Friday: 7:00 AM – 11:00 PM CT  
• Saturday: 7:00 AM – 5:00 PM CT  
All delivery centers operate 24/7/365, allowing flexible scheduling and full leadership coverage aligned to program hours.
No operational constraints are anticipated.</t>
  </si>
  <si>
    <t>Describe your approach to scaling up/down (seasonality, campaigns, volume spikes) and minimum notice periods required.</t>
  </si>
  <si>
    <r>
      <rPr>
        <sz val="11"/>
        <color theme="1"/>
        <rFont val="Calibri"/>
      </rPr>
      <t xml:space="preserve">Ubiquity manages scaling through forecasting, capacity planning, and flexible staffing models.
</t>
    </r>
    <r>
      <rPr>
        <b/>
        <sz val="11"/>
        <color theme="1"/>
        <rFont val="Calibri"/>
      </rPr>
      <t>Scaling Up</t>
    </r>
    <r>
      <rPr>
        <sz val="11"/>
        <color theme="1"/>
        <rFont val="Calibri"/>
      </rPr>
      <t xml:space="preserve">
• Workforce planning aligned to 12–24 week forecasts  
• Proven ramp: 0–100 FTEs in 90 days; 300–1,000 in 150 days  
• Multi-site recruiting and cross-trained talent pools  
</t>
    </r>
    <r>
      <rPr>
        <b/>
        <sz val="11"/>
        <color theme="1"/>
        <rFont val="Calibri"/>
      </rPr>
      <t>Scaling Down</t>
    </r>
    <r>
      <rPr>
        <sz val="11"/>
        <color theme="1"/>
        <rFont val="Calibri"/>
      </rPr>
      <t xml:space="preserve">
• Reallocation of staff across programs to minimize attrition  
• Compliance with local labor laws  
</t>
    </r>
    <r>
      <rPr>
        <b/>
        <sz val="11"/>
        <color theme="1"/>
        <rFont val="Calibri"/>
      </rPr>
      <t>Real Time Flexing</t>
    </r>
    <r>
      <rPr>
        <sz val="11"/>
        <color theme="1"/>
        <rFont val="Calibri"/>
      </rPr>
      <t xml:space="preserve">
• Intraday management with 15–30 minute interval adjustments  
• Cross-skilled agents deployed based on demand  
</t>
    </r>
    <r>
      <rPr>
        <b/>
        <sz val="11"/>
        <color theme="1"/>
        <rFont val="Calibri"/>
      </rPr>
      <t>Standard Notice Period</t>
    </r>
    <r>
      <rPr>
        <sz val="11"/>
        <color theme="1"/>
        <rFont val="Calibri"/>
      </rPr>
      <t xml:space="preserve">
• Standard: 60–90 days for large-scale ramp planning</t>
    </r>
  </si>
  <si>
    <t>Describe how you would structure teams across workgroups (Collections, Customer Service, Chat, Back Office) and how cross-training would be managed.</t>
  </si>
  <si>
    <r>
      <rPr>
        <sz val="11"/>
        <color theme="1"/>
        <rFont val="Calibri"/>
      </rPr>
      <t xml:space="preserve">Ubiquity uses a layered team structure to support delivery across workstreams (Collections, Customer Service, Chat, Back Office). We have provided our standards below, but we will build a team and support structure that addresses Santander's specific business needs:
</t>
    </r>
    <r>
      <rPr>
        <b/>
        <sz val="11"/>
        <color theme="1"/>
        <rFont val="Calibri"/>
      </rPr>
      <t>Standard Leadership and Support Ratios</t>
    </r>
    <r>
      <rPr>
        <sz val="11"/>
        <color theme="1"/>
        <rFont val="Calibri"/>
      </rPr>
      <t xml:space="preserve">
• Team Lead: 1:15  
• QA: 1:50  
• Trainer: 1:75  
• Operations Manager: 1:100  
Additional roles include Workforce Management, SMEs, HR, IT, and Client Success.
</t>
    </r>
    <r>
      <rPr>
        <b/>
        <sz val="11"/>
        <color theme="1"/>
        <rFont val="Calibri"/>
      </rPr>
      <t>Cross-Training Approach</t>
    </r>
    <r>
      <rPr>
        <sz val="11"/>
        <color theme="1"/>
        <rFont val="Calibri"/>
      </rPr>
      <t xml:space="preserve">
• Structured onboarding (3–4 weeks) + nesting (2 weeks)  
• Progressive skill development from simple to complex tasks  
• Ongoing refreshers, QA-driven coaching, and certification gates  
• Multi-skill training enables flexibility across channels (voice/chat/back office)
This model ensures scalability, quality control, and workforce flexibility.</t>
    </r>
  </si>
  <si>
    <t>C. Staffing &amp; Recruitment</t>
  </si>
  <si>
    <t>Describe your recruiting model, screening process, and typical time-to-fill for agent and support roles in proposed locations.</t>
  </si>
  <si>
    <r>
      <rPr>
        <sz val="11"/>
        <color theme="1"/>
        <rFont val="Calibri"/>
      </rPr>
      <t xml:space="preserve">Ubiquity uses a multi-channel recruiting strategy across all delivery locations, including referrals (40%+ of hires), job platforms, social media, hiring events, and agency partnerships. As part of our recruitment process, we will work to build the right profile to fit Santander's needs. This us our default recruitment set up:
</t>
    </r>
    <r>
      <rPr>
        <b/>
        <sz val="11"/>
        <color theme="1"/>
        <rFont val="Calibri"/>
      </rPr>
      <t>Screening Process</t>
    </r>
    <r>
      <rPr>
        <sz val="11"/>
        <color theme="1"/>
        <rFont val="Calibri"/>
      </rPr>
      <t xml:space="preserve">
• English proficiency (CEFR B2–C1)  
• Role-based assessments (typing, systems, problem-solving)  
• Structured HR and Operations interviews  
• Background checks (criminal, employment, education, OFAC)  
</t>
    </r>
    <r>
      <rPr>
        <b/>
        <sz val="11"/>
        <color theme="1"/>
        <rFont val="Calibri"/>
      </rPr>
      <t>Profile</t>
    </r>
    <r>
      <rPr>
        <sz val="11"/>
        <color theme="1"/>
        <rFont val="Calibri"/>
      </rPr>
      <t xml:space="preserve">
• Minimum 6 months contact center experience (80%+ have 2+ years)
</t>
    </r>
    <r>
      <rPr>
        <b/>
        <sz val="11"/>
        <color theme="1"/>
        <rFont val="Calibri"/>
      </rPr>
      <t>Time-to-Fill</t>
    </r>
    <r>
      <rPr>
        <sz val="11"/>
        <color theme="1"/>
        <rFont val="Calibri"/>
      </rPr>
      <t xml:space="preserve">
• 20–30 agents within ~4 weeks (standard roles)
Recruiting is aligned with client-specific profiles and ramp timelines.</t>
    </r>
  </si>
  <si>
    <t>Provide your attrition management approach and historical annual attrition range for similar programs (by site if possible).</t>
  </si>
  <si>
    <r>
      <rPr>
        <sz val="11"/>
        <color theme="1"/>
        <rFont val="Calibri"/>
      </rPr>
      <t xml:space="preserve">Ubiquity maintains low attrition rates supported by strong employee engagement and career development programs.
</t>
    </r>
    <r>
      <rPr>
        <b/>
        <sz val="11"/>
        <color theme="1"/>
        <rFont val="Calibri"/>
      </rPr>
      <t>Global Attrition (Recent)</t>
    </r>
    <r>
      <rPr>
        <sz val="11"/>
        <color theme="1"/>
        <rFont val="Calibri"/>
      </rPr>
      <t xml:space="preserve">
• ~4.75% – 5.5% annually  
</t>
    </r>
    <r>
      <rPr>
        <b/>
        <sz val="11"/>
        <color theme="1"/>
        <rFont val="Calibri"/>
      </rPr>
      <t>By Site (YTD Example)</t>
    </r>
    <r>
      <rPr>
        <sz val="11"/>
        <color theme="1"/>
        <rFont val="Calibri"/>
      </rPr>
      <t xml:space="preserve">
• Bacolod: 4.38%  
• San Salvador: 6.77%  
• Mission, TX: 10.5%  
</t>
    </r>
    <r>
      <rPr>
        <b/>
        <sz val="11"/>
        <color theme="1"/>
        <rFont val="Calibri"/>
      </rPr>
      <t>Retention Strategy</t>
    </r>
    <r>
      <rPr>
        <sz val="11"/>
        <color theme="1"/>
        <rFont val="Calibri"/>
      </rPr>
      <t xml:space="preserve">
• Career progression and internal promotions  
• Incentives and recognition programs  
• Flexible scheduling and wellness initiatives  
Attrition is monitored using a 12-month rolling methodology and managed proactively through engagement and workforce planning.</t>
    </r>
  </si>
  <si>
    <t>Describe your approach to background checks, employment eligibility verification, and ongoing compliance.</t>
  </si>
  <si>
    <t>Ubiquity conducts comprehensive pre-employment and ongoing compliance checks to ensure workforce integrity and regulatory adherence.
**Pre-Employment Screening**
• Criminal background checks (e.g., NBI clearance in the Philippines)  
• Employment and education verification  
• OFAC sanctions screening  
**Ongoing Compliance**
• Annual compliance and security recertification  
• Quarterly internal audits and annual external audits  
• Alignment with PCI DSS Level 1, SOC 2 Type II, and ISO 27001  
Audit findings are tracked through a centralized action registry with defined remediation plans and timelines.</t>
  </si>
  <si>
    <t>Confirm ability to meet or exceed the minimum leadership/QA coverage ratios (TL 1:30; Sup 1:15–1:18; Mgr 1:75; QA 1:75; Site Director per site). If proposing alternatives, provide rationale.</t>
  </si>
  <si>
    <t>Ubiquity meets or exceeds required leadership and QA coverage ratios:
• Team Lead: 1:15 (exceeds 1:30 requirement)  
• Supervisor: 1:15 (meets requirement)  
• QA: 1:50 (exceeds 1:75 requirement)  
• Manager: 1:100 (flexible based on program needs)  
Ratios can be adjusted based on complexity, regulatory requirements, and client preferences.</t>
  </si>
  <si>
    <t>Describe your workforce management (WFM) capabilities (forecasting, scheduling, intraday management) and tools used.</t>
  </si>
  <si>
    <t>Ubiquity provides end-to-end WFM capabilities across forecasting, scheduling, and real-time management.
**Forecasting &amp; Planning**
• Historical data modeling and machine learning forecasting  
• Volume, AHT, and shrinkage prediction by queue and interval  
**Scheduling**
• Automated scheduling and shift optimization  
• Skill-based routing and multi-skill utilization  
**Intraday Management**
• 15-minute interval monitoring  
• Real-time adherence tracking and dynamic adjustments  
**Tools**
• Aspect WFM  
• Real-time dashboards and adherence tools  
This approach ensures SLA adherence, optimized staffing, and cost efficiency.</t>
  </si>
  <si>
    <t>D. Training &amp; Knowledge Management</t>
  </si>
  <si>
    <t>Confirm ability to deliver Client-provided training modules and track completion (including refresher training).</t>
  </si>
  <si>
    <t>Ubiquity delivers client-provided training and tracks completion through structured certification frameworks.
• LMS-based tracking (Workday)  
• End-of-training certification (written + practical)  
• Ongoing refresher training based on QA trends  
• Compliance and regulatory training with annual recertification  
Training completion and performance readiness are validated before production deployment.</t>
  </si>
  <si>
    <t>Describe your approach to nesting/soft-landing and ramp-to-proficiency. Include typical duration.</t>
  </si>
  <si>
    <t>Ubiquity uses a structured ramp model to ensure smooth transition to production.
• Initial Training: ~3–4 weeks  
• Nesting: ~2 weeks (reduced volume, high coaching support)  
During nesting:
• Real-time coaching and QA monitoring  
• Daily performance reviews  
• Gradual increase in complexity  
Agents must meet certification thresholds (80–85%+) before full production readiness.</t>
  </si>
  <si>
    <t>Describe how you propose and enforce training graduation criteria (quality/productivity) and how remediation is handled.</t>
  </si>
  <si>
    <t>Graduation is based on defined quality and productivity thresholds:
**Criteria**
• Certification exams (written + call/chat evaluation)  
• KPI attainment during nesting  
**Enforcement**
• QA monitoring (100% for new hires, then risk-based sampling)  
• Weekly coaching sessions  
**Remediation**
• Targeted retraining and coaching  
• Performance Improvement Plans (PIPs) if needed  
This ensures only fully qualified agents enter production.</t>
  </si>
  <si>
    <t>Describe your knowledge management approach (job aids, SOP updates, version control, agent communications).</t>
  </si>
  <si>
    <t>Ubiquity maintains a centralized knowledge management framework:
• Confluence-based knowledge base (SOPs, job aids, FAQs)  
• Version-controlled documentation with regular updates  
• CRM-integrated scripts and decision trees  
**Communication**
• Updates via huddles, email alerts, and training sessions  
**Validation**
• UAT and sandbox testing prior to rollout  
This ensures accuracy, consistency, and rapid adoption of updates.</t>
  </si>
  <si>
    <t>E. Quality &amp; Performance</t>
  </si>
  <si>
    <t>Describe your QA program, including calibration, sampling methodology, scorecards, and coaching cadence.</t>
  </si>
  <si>
    <t>Ubiquity’s QA program ensures consistent service quality and compliance.
**Framework**
• 2 audits per agent per week (100% for new hires)  
• Customizable scorecards (CX, Compliance, Hybrid)  
**Calibration**
• Regular internal and client calibration sessions  
**Coaching**
• Weekly 1:1 coaching sessions  
• Real-time feedback for critical errors  
**Reporting**
• Trend analysis, dashboards, and root cause insights  
QA is tightly integrated with training and operations for continuous improvement.</t>
  </si>
  <si>
    <t>Confirm ability to meet the performance metrics provided in the RFP scope document and identify any metrics you recommend adjusting (with rationale).</t>
  </si>
  <si>
    <t>Ubiquity can meet or exceed standard performance targets, including:
• Quality: 95%  
• CSAT: 90%  
• First Contact Resolution: 85%  
• Compliance Accuracy: 100%  
All SLAs and KPIs are finalized during contracting and aligned to client requirements.
Ubiquity may recommend adjustments based on program complexity and volume patterns during implementation.</t>
  </si>
  <si>
    <t>Describe how operational KPIs are monitored (real-time dashboards, daily/weekly reporting) and how corrective actions are managed.</t>
  </si>
  <si>
    <t>Operational performance is monitored through real-time dashboards and structured reporting.
**Monitoring**
• Real-time dashboards (agent to enterprise level)  
• Daily, weekly, and monthly reporting  
**Corrective Actions**
• Tiered escalation (Supervisor → Manager → Executive)  
• Root Cause Analysis within 24–72 hours  
• Corrective Action Plans with tracked outcomes  
Continuous improvement is driven through QA insights and WFM trends.</t>
  </si>
  <si>
    <t>Describe your escalation management process for customer complaints and operational risk issues.</t>
  </si>
  <si>
    <t>Ubiquity uses a structured escalation framework:
• Tier 1: Immediate supervisor response  
• Tier 2: Program leadership with RCA and CAP  
• Tier 3: Executive escalation for critical issues  
An escalation matrix defines triggers, contacts, and SLAs.
Customer complaints and operational risks are tracked, analyzed, and used to drive process improvements.</t>
  </si>
  <si>
    <t>F. Technology &amp; Security</t>
  </si>
  <si>
    <t>Describe your experience operating within client-provided CRM/CMS, dialer, ACD/IVR, and call recording environments. Provide examples.</t>
  </si>
  <si>
    <t>Ubiquity operates within client-provided systems across CRM, telephony, and case management platforms.
**Platforms Supported**
• Salesforce, Zendesk, Kustomer, Intercom  
• Genesys, Amazon Connect, Talkdesk, Twilio  
**Capabilities**
• CRM integration and workflow optimization  
• IVR and ACD configuration  
• Call recording and secure storage  
Ubiquity primarily works within client-owned environments with no local data storage.</t>
  </si>
  <si>
    <t>Describe your endpoint, network, and access control standards for agent workstations (including remote work, if applicable).</t>
  </si>
  <si>
    <t>Ubiquity enforces enterprise-grade endpoint and network security controls:
**Endpoints**
• Encrypted devices (AES-256)  
• Endpoint protection and monitoring  
**Network**
• Firewalls, IDS/IPS, and network segmentation  
• TLS 1.2/1.3 encryption for data in transit  
**Access Control**
• Role-based access (RBAC)  
• Multi-factor authentication (MFA)  
• Centralized logging and SIEM monitoring  
Remote work environments follow the same security standards via secure virtual desktops.</t>
  </si>
  <si>
    <t>Provide your information security certifications/assessments (e.g., SOC reports, ISO certifications) if available, and describe your security governance.</t>
  </si>
  <si>
    <t>Ubiquity maintains industry-recognized certifications:
• SOC 2 Type II  
• PCI DSS Level 1  
• ISO/IEC 27001  
• HITRUST CSF  
Security governance is led by the Chief Risk &amp; Compliance Officer and aligned with NIST and ISO frameworks.</t>
  </si>
  <si>
    <t>Describe your incident response process, including notification timelines and breach handling.</t>
  </si>
  <si>
    <t>Ubiquity maintains a formal Incident Response Plan (IRP):
**Capabilities**
• 24/7 monitoring via SOC and MDR  
• Defined response playbooks  
**Notification**
• Clients notified within 15–30 minutes of confirmed major incidents  
**Post-Incident**
• Root cause analysis and remediation reporting  
Incident response processes are tested annually.</t>
  </si>
  <si>
    <t>Confirm ability to support Client audit requests (operational and security) and describe your audit support process.</t>
  </si>
  <si>
    <t>Ubiquity fully supports client operational and security audits.
• Audit logs and activity tracking available  
• Quarterly internal audits and annual external audits  
• Dedicated support for audit requests and evidence submission  
Findings are tracked and remediated through structured action plans.</t>
  </si>
  <si>
    <t>G. Regulatory &amp; Compliance</t>
  </si>
  <si>
    <t>Describe your compliance program for regulated customer interactions (collections and servicing), including monitoring and corrective action.</t>
  </si>
  <si>
    <t>Ubiquity maintains a structured compliance program aligned with regulatory requirements.
**Coverage**
• FDCPA, FCRA, GLBA, Reg E, Reg Z, SCRA  
**Controls**
• Script adherence monitoring  
• QA audits and compliance scorecards  
**Training**
• Mandatory onboarding and annual recertification  
Non-compliance triggers immediate remediation and corrective action plans.</t>
  </si>
  <si>
    <t>Confirm ability to comply with Client policies/SOPs and to promptly notify the Client if potential noncompliance is identified.</t>
  </si>
  <si>
    <t>Ubiquity adheres to client-managed dialing controls and DNC requirements.
• Operates within client dialer configurations  
• Ensures compliance with TCPA and applicable regulations  
• QA monitoring for adherence  
All dialing activities align with client policies and regulatory standards.</t>
  </si>
  <si>
    <t>Describe how you manage Do Not Call (DNC) compliance and dialing controls in client-managed dialer environments.</t>
  </si>
  <si>
    <t>Ubiquity manages Do Not Call (DNC) compliance within client-managed dialer environments by strictly adhering to client configurations, regulatory requirements, and internal control processes.
**Dialer &amp; List Controls**
• Operates exclusively within client-owned dialers (no local list storage)  
• Honors client-configured suppression lists (DNC, internal opt-outs, litigated accounts)  
• Supports real-time and batch list updates from client systems  
**Regulatory Compliance**
• Alignment with TCPA, FDCPA, and applicable state/federal regulations  
• Time-of-day and frequency controls enforced via dialer rules  
• Consent and opt-out status respected across all channels  
**Agent Controls &amp; Training**
• Script adherence and required disclosures embedded in workflows  
• Mandatory compliance training and periodic recertification  
• QA monitoring for dialing behavior and disclosure compliance  
**Monitoring &amp; Auditability**
• Call recordings and dialer logs maintained for audit  
• Regular QA audits and compliance reporting  
• Exception tracking with RCA and corrective actions  
Ubiquity does not override client dialer controls and ensures all activity remains fully auditable and compliant.</t>
  </si>
  <si>
    <t>Describe your approach to handling SCRA, Bankruptcy, and Credit Bureau Reporting-related back-office work (if in scope).</t>
  </si>
  <si>
    <t>H. Reporting &amp; Governance</t>
  </si>
  <si>
    <t>Provide your standard reporting package outline (daily/weekly/monthly) for voice/chat/back office operations.</t>
  </si>
  <si>
    <t>Ubiquity provides comprehensive reporting across all channels:
**Daily**
• Operational dashboards and attendance  
**Weekly**
• Performance summaries and QA insights  
**Monthly**
• Business review reports with KPI analysis and RCA  
Reports are customizable and can integrate with client BI systems.</t>
  </si>
  <si>
    <t>Describe your approach to monthly joint business reviews (JBRs): agenda, attendees, inputs/outputs, and action tracking.</t>
  </si>
  <si>
    <t>Monthly JBRs include:
**Agenda**
• KPI/SLA performance review  
• Root cause analysis and action plans  
**Attendees**
• Operations, QA, WFM, and client stakeholders  
**Outputs**
• Documented actions and performance improvements  
Progress is tracked through weekly follow-ups.</t>
  </si>
  <si>
    <t>Describe your invoice validation approach (productive hours, training hours, overtime) and evidence provided to the Client.</t>
  </si>
  <si>
    <t>Ubiquity bills based on productive hours:
• Includes active work time, training, and coaching  
• Excludes breaks, leave, and non-productive time  
Full transparency is provided through detailed reporting and audit logs.</t>
  </si>
  <si>
    <t>I. Business Continuity</t>
  </si>
  <si>
    <t>Describe your business continuity and disaster recovery (BCP/DR) approach for contact center operations, including redundancy and failover between sites.</t>
  </si>
  <si>
    <t>Ubiquity maintains a robust BCP/DR framework:
• Multi-site redundancy and failover  
• Quarterly testing and validation  
• Backup data centers and secure backups  
Clients are notified within 30 minutes of disruptions, with ongoing updates until resolution.</t>
  </si>
  <si>
    <t>Provide historical examples of disruption response (e.g., weather events, telecom outages) and outcomes.</t>
  </si>
  <si>
    <t>Ubiquity has successfully managed multiple disruption scenarios through its Business Continuity and Disaster Recovery (BCP/DR) framework, ensuring minimal client impact and sustained operations.
**1) Severe Weather Event (Philippines – Typhoon Impact)**
• Scenario: Regional typhoon affecting primary delivery sites, impacting transportation and power availability  
• Response:
  – Activated BCP and site-level contingency plans  
  – Shifted workloads to alternate Philippine and nearshore sites  
  – Deployed work-from-home (WFH) capability for critical staff  
  – Utilized backup power and redundant connectivity  
• Outcome:
  – Maintained &gt;95% service level adherence  
  – No material SLA breaches  
  – Full operational normalization within 24–48 hours  
**2) Telecommunications Outage (ISP Disruption)**
• Scenario: Primary ISP outage impacting connectivity at a delivery center  
• Response:
  – Automatic failover to secondary ISP providers  
  – Traffic rerouted to alternate sites where needed  
  – Real-time communication with client stakeholders  
• Outcome:
  – Minimal service interruption (&lt;30 minutes impact)  
  – No data loss or security incidents  
  – SLA performance maintained within acceptable thresholds  
**3) COVID-19 Pandemic (Global Disruption)**
• Scenario: Large-scale disruption requiring rapid shift to remote operations  
• Response:
  – Rapid deployment of secure WFH environments (VDI/VPN-enabled)  
  – Scaled remote workforce while maintaining PCI-compliant controls  
  – Adjusted staffing models and cross-trained teams  
• Outcome:
  – Transitioned majority of workforce to remote within weeks  
  – Maintained continuous operations across all programs  
  – Sustained SLA and quality performance throughout transition  
**4) Power Outage / Facility-Level Disruption**
• Scenario: Localized power interruption at a delivery site  
• Response:
  – Immediate failover to backup generators and UPS systems  
  – Partial workload redistribution to other sites  
• Outcome:
  – No significant downtime for critical functions  
  – Seamless continuation of operations  
**Key Strengths Across All Scenarios**
• Multi-site, globally distributed delivery model  
• Redundant infrastructure (power, network, systems)  
• Real-time monitoring and rapid escalation protocols  
• Tested BCP/DR plans with defined RTO (24–72 hours)  
These examples demonstrate Ubiquity’s ability to maintain operational continuity, protect client data, and meet service commitments during disruptive events.</t>
  </si>
  <si>
    <t>Confirm ability to provide multi-site delivery and describe how work would be redistributed during an outage.</t>
  </si>
  <si>
    <t>Ubiquity supports multi-site delivery with dynamic workload redistribution.
• Real-time traffic rerouting  
• Cross-site staffing flexibility  
• Automatic ISP failover  
Ensures continuity during outages or disruptions.</t>
  </si>
  <si>
    <t>J. Transition</t>
  </si>
  <si>
    <t>Provide a proposed transition plan and timeline for go-live, including recruiting, training, technology readiness, and cutover.</t>
  </si>
  <si>
    <t>Ubiquity delivers transitions through a structured PMO-led implementation framework, ensuring governance, transparency, and on-time delivery.
**Overall Timeline:** ~8–12 weeks (subject to scope)
**Governance**
• Dedicated Implementation Manager (PMO)  
• Workstream leads (Recruiting, Training, WFM, IT, Compliance)  
• Weekly status reporting, RAID log (Risks, Assumptions, Issues, Dependencies)  
• Stage-gate approvals  
**Phased Approach**
1) **Initiation &amp; Discovery (Weeks 1–2)**
• Kickoff and PMO governance setup  
• Requirements gathering across all workstreams  
• Process mapping, KPI/SLA alignment, risk assessment  
2) **Design &amp; Planning (Weeks 2–4)**
• Detailed project plan and resource model  
• Technology design (connectivity, access, security)  
• Training curriculum and hiring plan finalized  
3) **Build (Weeks 4–8)**
• Recruiting and hiring (4–6 weeks typical)  
• System configuration and access provisioning  
• Training delivery (3–4 weeks)  
4) **Test &amp; Readiness (Weeks 8–10)**
• User Acceptance Testing (UAT)  
• Certification of agents (80–85%+ thresholds)  
• Operational readiness validation  
5) **Cutover &amp; Go-Live (Weeks 10–12)**
• Go/No-Go decision (PMO + client sign-off)  
• Controlled ramp and live production launch  
6) **Stabilization (Post Go-Live)**
• Hypercare support (2–4 weeks)  
• Daily performance monitoring and issue resolution  
• Transition to steady-state operations  
This PMO-led approach ensures controlled execution, clear accountability, and minimized delivery risk.</t>
  </si>
  <si>
    <t>Confirm ability to complete transition within ~180 calendar days (subject to final scope) and identify key dependencies.</t>
  </si>
  <si>
    <t>Ubiquity confirms the ability to complete transition within ~180 calendar days and, in most cases, delivers within 8–12 weeks depending on scope and complexity.
**Key Dependencies**
• Final scope alignment and timely approvals  
• Client availability for design workshops and sign-offs  
• System access and connectivity readiness  
• Defined hiring profiles and volume forecasts  
• Timely completion of UAT and Go/No-Go approvals  
The PMO manages all dependencies through a centralized RAID log, with proactive mitigation and escalation to ensure timeline adherence.</t>
  </si>
  <si>
    <t>Describe your approach to knowledge transfer, documentation, and operational readiness sign-off.</t>
  </si>
  <si>
    <t>Ubiquity follows a structured knowledge transfer and readiness framework governed by PMO controls and defined stage gates.
**Knowledge Transfer**
• Train-the-Trainer (T3) model for scalable knowledge distribution  
• Blended delivery (instructor-led, eLearning, simulations)  
• Shadowing, reverse shadowing, and certification assessments  
**Documentation**
• SOPs, job aids, and process maps maintained in a centralized knowledge base  
• Version control and approval workflows  
• Documented data flows, escalation paths, and compliance requirements  
**Operational Readiness (Stage-Gate Sign-Off)**
Readiness is validated through formal PMO checkpoints:
• Training Certification (agents meet 80–85% thresholds)  
• System Readiness (access, tools, security validated)  
• UAT Completion (client-approved)  
• Staffing Readiness (hiring and scheduling aligned)  
Final readiness is confirmed through a **Go/No-Go decision framework**, requiring joint sign-off from Ubiquity PMO and client stakeholders prior to production launch.</t>
  </si>
  <si>
    <t>Describe your approach to exit management and orderly transition support at contract end or termination.</t>
  </si>
  <si>
    <t>Ubiquity supports structured exit management and transition services to ensure continuity and minimal disruption at contract end or termination.
**Exit Governance**
• Transition plan with defined timeline and milestones  
• Regular status reporting and risk tracking  
**Knowledge Transfer**
• Documentation handover (SOPs, process maps, training materials)  
• Train-the-trainer support for incoming vendor or client teams  
• Access to historical reporting and performance data  
**Operational Transition**
• Phased ramp-down aligned to client timelines  
• Parallel operations (if required) to ensure continuity  
• Controlled knowledge migration and system access transition  
**Data Management**
• Secure data return or destruction per client requirements  
• Certification of data deletion aligned with regulatory standards  
Ubiquity remains fully engaged through transition completion to ensure service continuity, compliance, and a seamless handover.</t>
  </si>
  <si>
    <t>K. Commercial</t>
  </si>
  <si>
    <t>Confirm ability to submit pricing in the provided quote template and describe any alternative commercial models you propose.</t>
  </si>
  <si>
    <t>Ubiquity confirms the ability to submit pricing using the client-provided quote template.
Pricing will be finalized based on confirmed scope, volumes, service levels, and delivery model during the discovery phase.
**Standard Commercial Model**
• Per productive hour (fully loaded rate)
**Alternative Models (available upon request)**
• FTE-based monthly pricing  
• Transaction-based pricing (per case / per interaction)  
• Outcome-based or hybrid models (aligned to KPIs/SLA performance)  
Ubiquity is flexible in structuring commercial models to align with client objectives, including cost predictability and performance alignment.</t>
  </si>
  <si>
    <t>Describe your billing methodology (productive hour/minute definition, rounding/increments, treatment of shrinkage, etc.).</t>
  </si>
  <si>
    <t>Ubiquity bills based on **productive hours**, defined as time during which an agent is logged in, available, and performing work on the client program.
**Included (Billable Time)**
• Live production (calls, chats, back-office work)  
• Training (new hire and refresher)  
• Coaching and required meetings  
**Excluded (Non-Billable Time)**
• Breaks, meals, and idle time  
• Vacation, holidays, and sick leave  
**Billing Structure**
• Hourly billing (no fractional minute billing unless specified)  
• Standard monthly FTE assumption: ~145 productive hours  
**Shrinkage**
• Ubiquity absorbs shrinkage (e.g., breaks, absenteeism), ensuring predictable billing  
Detailed reporting and audit logs are provided to support invoice validation and transparency.</t>
  </si>
  <si>
    <t>Describe proposed annual escalation methodology and any volume-based pricing tiers.</t>
  </si>
  <si>
    <t>**Annual Escalation**
Ubiquity applies standard annual rate adjustments aligned to:
• Labor market conditions  
• Inflation indices (where applicable)  
• Geographic cost changes  
Escalation terms are defined contractually and typically reviewed annually.
**Volume-Based Pricing**
Ubiquity supports tiered pricing models based on scale:
• Lower unit rates at higher volume tiers  
• Blended rates for multi-channel or multi-skill programs  
• Flexibility for ramp-up/ramp-down scenarios  
Pricing is structured to incentivize scale efficiency while maintaining service quality.</t>
  </si>
  <si>
    <t>Identify any one-time implementation fees, pass-through costs, or minimum commitments assumed.</t>
  </si>
  <si>
    <t>**One-Time Fees**
• Implementation / setup fee (covers onboarding, training, IT setup, and program launch)
**Pass-Through Costs (if applicable)**
• Telephony (usage-based, if Ubiquity platform is used)  
• Professional services (e.g., consulting, integrations, IVR design)  
**Minimum Commitment**
• Typical minimum: 10 FTEs (subject to agreement)  
All costs are transparently defined during contracting.</t>
  </si>
  <si>
    <t>Describe any proposed performance credits/penalties or gainshare structures tied to SLA achievement.</t>
  </si>
  <si>
    <t>Ubiquity supports performance-based commercial structures aligned to SLA achievement.
**Standard Approach**
• Service credits or penalties tied to SLA/KPI performance  
• Metrics may include quality, SLA adherence, productivity, and compliance  
**Optional Gainshare Models**
• Incentives tied to exceeding targets (e.g., improved collections, efficiency gains, CSAT improvements)  
All performance mechanisms are mutually defined during contracting to ensure alignment with business outcomes.</t>
  </si>
  <si>
    <t>L. Legal &amp; Risk</t>
  </si>
  <si>
    <t>Provide evidence of insurance coverage relevant to professional liability/errors &amp; omissions and other required coverages.</t>
  </si>
  <si>
    <t>Describe your subcontracting policy and any anticipated subcontractors for this engagement.</t>
  </si>
  <si>
    <t>Ubiquity does not utilize subcontractors or fourth-party vendors to deliver core services for this engagement.
If third-party vendors are required (e.g., technology providers), they are:
• Pre-approved  
• Contractually bound to Ubiquity security and compliance standards  
• Aligned with data protection and confidentiality requirements  
No subcontractors are currently anticipated for this engagement.</t>
  </si>
  <si>
    <t>Confirm ability to comply with data confidentiality requirements and describe data retention/return processes.</t>
  </si>
  <si>
    <t>Ubiquity maintains a defense-in-depth approach to data confidentiality, aligned with regulatory and client requirements.
**Data Protection**
• Encryption at rest (AES-256) and in transit (TLS 1.2/1.3)  
• Role-based access control (RBAC) and least privilege  
• Continuous monitoring and audit logging  
**Data Retention**
• Retention aligned to client requirements and regulatory standards  
• Examples:
  – Reg E: minimum 2 years  
  – Reg Z: minimum 3 years  
• Default retention:
  – Call recordings: 90 days  
  – Sensitive data: up to 1 year (extendable per contract, up to 7 years)
**Data Return &amp; Destruction**
• Secure transfer via SFTP or cloud storage (e.g., AWS S3)  
• Certified data destruction using NIST SP 800-88 compliant methods  
• Media sanitization and secure disposal  
All data handling processes are auditable and compliant with applicable regulations.</t>
  </si>
  <si>
    <t>M. Fraud Ops - Vendor Profile</t>
  </si>
  <si>
    <t>[Fraud RFI 1.3] Describe the existing resources available for Banking Fraud Opertions and tenure by role.</t>
  </si>
  <si>
    <t>Ubiquity provides dedicated fraud operations teams composed of analysts, QA specialists, team leads, and program managers.
**Typical Roles**
• Fraud Analysts (Level 1–3)  
• QA Analysts  
• Team Leads / Supervisors  
• Operations Managers  
**Tenure**
• Average agent tenure: 1.5–3+ years (program-dependent)  
• Leadership tenure: 3–7+ years  
Teams are structured to support both intake and investigation functions with clear separation of duties.</t>
  </si>
  <si>
    <t xml:space="preserve">[Fraud RFI 1.5] How long have you been providing outsourcing services to Banks and Fraud Operations functions? </t>
  </si>
  <si>
    <t>Ubiquity has supported banking and financial services clients since its founding in 2012, including fraud operations, dispute management, and risk &amp; compliance services.
This includes over a decade of experience supporting fraud-related processes across card and lending products.</t>
  </si>
  <si>
    <t>[Fraud RFI 1.6] Describe experience providing outsourced services to U.S. Banks and specifically Fraud Operations processes</t>
  </si>
  <si>
    <t>Ubiquity supports U.S.-based financial institutions, fintechs, and card issuers in fraud and dispute operations.
**Capabilities**
• Fraud intake and triage  
• Dispute and chargeback processing  
• Fraud investigation and resolution  
• Identity verification and account protection  
Operations are aligned with U.S. regulatory requirements (Reg E, Reg Z, NACHA, card network rules) and client-specific policies.</t>
  </si>
  <si>
    <t>[Fraud RFI 1.7] Provide references of banking clients for fraud operations support.</t>
  </si>
  <si>
    <t>Relevant client references (including financial services and fraud operations support) can be provided upon request under NDA.
Example:
• Digital banking / fintech clients (e.g., Chime – case study available)
Additional references will be shared during the next phase of the RFP process.</t>
  </si>
  <si>
    <t>M. Fraud Ops - Fraud Ops Experience</t>
  </si>
  <si>
    <t>[Fraud RFI 2.1] Describe your experience supporting fraud alert review and disposition for banks.</t>
  </si>
  <si>
    <t>Ubiquity supports fraud alert review through structured intake, investigation, and disposition workflows.
**Process**
• Alert intake via client systems  
• Validation using transaction data, account behavior, and fraud indicators  
• Case decision (fraud / non-fraud / escalate)  
• Documentation and audit logging  
Alerts are managed within SLA timelines with full traceability of analyst actions.</t>
  </si>
  <si>
    <t>[Fraud RFI 2.2] Describe fraud channels supported (card, ACH, wire, ATO, P2P, check).</t>
  </si>
  <si>
    <t>Ubiquity supports multiple fraud channels, including:
• Card (debit/credit)  
• ACH  
• Wire transfers  
• Account Takeover (ATO)  
• Peer-to-Peer (P2P)  
• Check fraud  
Coverage is dependent on client systems and scope.</t>
  </si>
  <si>
    <t>[Fraud RFI 2.3] Provide typical volumes supported (alerts/day, accounts/month).</t>
  </si>
  <si>
    <t>Ubiquity supports high-volume fraud and dispute operations:
• ~1.5M+ disputed transactions processed monthly  
• ~1M+ chargeback/dispute cases monthly  
Volumes scale based on client demand and program size.</t>
  </si>
  <si>
    <t>[Fraud RFI 2.4] Describe experience operating offshore/nearshore fraud teams with onshore escalation.</t>
  </si>
  <si>
    <t>Ubiquity operates a global delivery model with offshore/nearshore execution and onshore oversight.
**Model**
• Offshore/Nearshore: Primary processing and investigation  
• Onshore: Escalations, client interface, compliance oversight  
This model ensures cost efficiency while maintaining regulatory alignment and escalation control.</t>
  </si>
  <si>
    <t>M. Fraud Ops - Scope &amp; Model</t>
  </si>
  <si>
    <t>[Fraud RFI 3.1] Identify which fraud operations services you can provide (alert review, blocking/unblocking, escalation).</t>
  </si>
  <si>
    <t>Ubiquity supports the following fraud operations services:
• Alert review and disposition  
• Fraud intake and triage  
• Account blocking/unblocking  
• Case investigation and resolution  
• Escalation handling  
All services are executed within client-defined systems and policies.</t>
  </si>
  <si>
    <t>[Fraud RFI 3.2] Describe your proposed operating model (onshore/offshore/nearshore).</t>
  </si>
  <si>
    <t>Ubiquity provides flexible delivery models:
• Onshore (U.S.)  
• Nearshore (LATAM)  
• Offshore (Philippines, etc.)  
• Hybrid (recommended)  
Model selection is aligned to client risk tolerance, regulatory requirements, and cost objectives.</t>
  </si>
  <si>
    <t>[Fraud RFI 3.3] Describe handoffs, escalation paths, and SLA management across teams.</t>
  </si>
  <si>
    <t>Ubiquity uses structured workflows for handoffs and SLA management:
• Intake → Investigation → Resolution  
• Defined ownership at each stage  
• SLA tracking via case management systems  
Escalations follow a tiered model with RCA and CAP requirements for SLA breaches.</t>
  </si>
  <si>
    <t>[Fraud RFI 3.4] Describe staffing flexibility and surge capacity during fraud volume spikes.</t>
  </si>
  <si>
    <t>Ubiquity supports surge capacity through:
• Cross-trained agent pools  
• Multi-site staffing  
• Real-time workload redistribution  
Can scale within 24–72 hours for volume spikes, supported by forecasting and WFM.</t>
  </si>
  <si>
    <t>[Fraud RFI 3.5] Describe hours of operation and 24x7 support capabilities.</t>
  </si>
  <si>
    <t>Ubiquity supports 24/7/365 fraud operations, including weekends and holidays.
Schedules are aligned to client requirements and fraud risk windows.</t>
  </si>
  <si>
    <t>M. Fraud Ops - Technology &amp; Access</t>
  </si>
  <si>
    <t>[Fraud RFI 4.1] List fraud platforms, case management, and monitoring tools supported (e.g., FICO, Experian, Lynx, Appain ).</t>
  </si>
  <si>
    <t>Ubiquity supports a range of fraud platforms, case management systems, and monitoring tools, primarily operating within client-owned environments.
**Fraud Platforms &amp; Monitoring Tools**
• Mastercard SAFE / Fraud &amp; Loss Database (FLD)  
• Additional client-specific fraud detection and alerting platforms  
**Case Management Systems**
• Client-provided case management systems
• Ubiquity proprietary workflow platform (inCharge) supporting:
  – Case tracking and lifecycle management  
  – SLA monitoring and regulatory timelines (Reg E, Reg Z, NACHA)  
  – Configurable workflows aligned to client policies  
**Capabilities**
• End-to-end case handling (intake, investigation, disposition)  
• SLA and alert tracking with audit trails  
• Integration with client file templates, reporting, and workflows  
Ubiquity does not deploy its own fraud detection engine but provides trained analysts and process expertise to operate and optimize client-owned platforms.</t>
  </si>
  <si>
    <t>[Fraud RFI 4.2] Describe experience working directly in client-owned systems.</t>
  </si>
  <si>
    <t>Ubiquity agents work directly within client-owned systems with no local data storage.
All activities are performed within secure, access-controlled environments with full audit logging.</t>
  </si>
  <si>
    <t>[Fraud RFI 4.3] Explain how secure system access is provisioned, reviewed, and revoked.</t>
  </si>
  <si>
    <t xml:space="preserve">• Access granted via RBAC and least privilege  
• Approved through formal onboarding workflows  
• Regular access reviews and immediate revocation upon role change or termination  </t>
  </si>
  <si>
    <t>[Fraud RFI 4.4] Describe controls around privileged access and role-based entitlements.</t>
  </si>
  <si>
    <t xml:space="preserve">• Segregation of duties (SoD) enforced  
• Privileged access restricted and monitored  
• All actions logged and reviewed via SIEM  </t>
  </si>
  <si>
    <t>[Fraud RFI 4.5] Describe audit logging, monitoring, and evidence retention for system activity.</t>
  </si>
  <si>
    <t xml:space="preserve">• All user actions logged (timestamp, user ID, activity)  
• Logs monitored for anomalies  
• Retained for audit and forensic purposes  </t>
  </si>
  <si>
    <t>[Fraud RFI 4.6] Describe any automation, tooling, or accelerators used to support fraud operations.</t>
  </si>
  <si>
    <t>Ubiquity uses AI and automation to enhance fraud operations:
• RPA (UiPath) for repetitive workflows  
• AI-driven QA and analytics (ZViQ, InScribe)  
• Predictive analytics for trend identification  
All automation operates within client-defined controls.</t>
  </si>
  <si>
    <t>M. Fraud Ops - InfoSec &amp; Data</t>
  </si>
  <si>
    <t>[Fraud RFI 5.1] Describe your information security governance framework and certifications (SOC 1/2, ISO 27001, PCI DSS).</t>
  </si>
  <si>
    <t>Ubiquity maintains a comprehensive Information Security Governance framework aligned with industry best practices and regulatory standards.
**Governance Framework**
• Led by the Chief Risk &amp; Compliance Officer (CRCO) with oversight from a dedicated Information Security and Compliance team  
• Policies and controls aligned to NIST, ISO/IEC 27001, and CIS Benchmarks  
• Enterprise-wide governance supported by formal risk management, internal audit, and policy management programs  
• Policies are reviewed at least annually and updated based on regulatory, threat, or business changes  
**Certifications &amp; Independent Assessments**
• SOC 2 Type II: Independently audited annually, covering security, availability, and confidentiality controls  
• ISO/IEC 27001: Certified Information Security Management System (ISMS) across enterprise operations  
• PCI DSS Level 1: Certified across delivery sites, including on-site and remote environments, with annual QSA audits  
**Additional Compliance &amp; Framework Alignment**
• HITRUST CSF Certified  
• Compliance with GDPR, HIPAA, and CCPA (as applicable)  
Ubiquity’s governance model ensures continuous monitoring, auditability, and alignment with client and regulatory security requirements.</t>
  </si>
  <si>
    <t>[Fraud RFI 5.2] Describe controls for protection of customer PII and sensitive banking data.</t>
  </si>
  <si>
    <t>Ubiquity applies a defense-in-depth security model to protect customer PII and sensitive banking data, combining technical, administrative, and physical controls aligned with industry standards.
**Access Control &amp; Monitoring**
• Role-Based Access Control (RBAC) and least-privilege enforcement  
• Segregation of Duties (SoD) to reduce insider risk  
• Centralized logging and continuous monitoring via Security Operations Center (SOC)  
• Regular user access reviews and audit trails  
**Encryption &amp; Data Protection**
• Encryption at rest (AES-256) and in transit (TLS 1.2/1.3)  
• Secure data transfer protocols (SFTP, HTTPS)  
• Tokenization, truncation, and masking of sensitive data (e.g., PAN)  
• Strong key management aligned with NIST and ISO standards  
• Prohibition of transmitting sensitive data via unsecured channels  
**Network &amp; System Security**
• Network segmentation and environment isolation  
• Firewalls, IDS/IPS, and proxy-based URL whitelisting  
• Endpoint hardening aligned to CIS benchmarks  
• Regular vulnerability assessments and penetration testing  
**Physical Security Controls**
• Restricted access to production areas (ID badge + controlled entry)  
• 24/7 security, CCTV monitoring, and escorted visitor access  
• Clear desk/screen policy and secure equipment handling  
**Data Resilience &amp; Governance**
• Secure backups and disaster recovery controls  
• Formal security policies with annual review and updates  
• Ongoing employee security training and awareness programs  
**Compliance &amp; Assurance**
• Aligned with PCI DSS Level 1, SOC 2 Type II, ISO/IEC 27001, and HITRUST  
• Compliant with GDPR, HIPAA, and CCPA (as applicable)  
These layered controls ensure confidentiality, integrity, and availability of sensitive customer data across all operations.</t>
  </si>
  <si>
    <t xml:space="preserve">[Fraud RFI 5.3] Explain how data access is restricted, monitored, and logged for fraud operations staff. </t>
  </si>
  <si>
    <t>Ubiquity enforces strict controls to ensure data access is appropriately restricted, continuously monitored, and fully auditable for fraud operations staff.
**Access Restriction**
• Role-Based Access Control (RBAC) aligned to job responsibilities  
• Least-privilege and “need-to-know” access enforcement  
• Client-specific access segregation to prevent cross-client data exposure  
• Access provisioning and deprovisioning through formal approval workflows  
**Monitoring**
• Continuous monitoring via centralized Security Information and Event Management (SIEM) platforms  
• Real-time alerting for anomalous or unauthorized access activity  
• Regular user access reviews to validate ongoing authorization  
**Logging &amp; Auditability**
• All access and user activities are logged (user ID, timestamp, action performed)  
• Logs are securely stored and retained for audit and forensic analysis  
• Audit trails are available to support internal reviews and client audit requests  
These controls ensure full traceability, minimize unauthorized access risk, and support regulatory and audit requirements.</t>
  </si>
  <si>
    <t>[Fraud RFI 5.4] Are cell phones or any data recording (verbal, video, picture) devices of employees restricted in use during working hours or in sensitve work areas?</t>
  </si>
  <si>
    <t xml:space="preserve">Yes. Personal devices (cell phones, cameras, recording devices) are strictly prohibited in production areas.
Controls include:
• Secured production floors  
• Device-free zones  
• Monitoring and enforcement policies  </t>
  </si>
  <si>
    <t xml:space="preserve">[Fraud RFI 5.5] Describe endpoint, network, and remote access security controls for offshore resources. </t>
  </si>
  <si>
    <t>Ubiquity enforces enterprise-grade endpoint, network, and remote access security controls across offshore delivery environments.
**Endpoint Security**
• Hardened workstations aligned to CIS benchmarks  
• Full disk encryption (AES-256)  
• Endpoint protection (anti-malware, device control, monitoring tools)  
• USB and external media restrictions (as required)  
**Network Security**
• Segmented network architecture separating production and non-production environments  
• Firewalls with strict ingress/egress filtering  
• Intrusion Detection/Prevention Systems (IDS/IPS)  
• Proxy-based internet access with URL whitelisting  
**Remote Access Security**
• Secure access via VPN or virtual desktop environments (e.g., VDI/AWS Workspaces)  
• Multi-Factor Authentication (MFA) for all remote and privileged access  
• Role-Based Access Control (RBAC) with least-privilege enforcement  
• Continuous monitoring via SIEM and Security Operations Center (SOC)  
These controls ensure secure access to client systems while maintaining data protection and regulatory compliance.</t>
  </si>
  <si>
    <t xml:space="preserve">[Fraud RFI 5.6] Describe physical security controls at delivery locations. </t>
  </si>
  <si>
    <t>Ubiquity maintains robust physical security controls across all delivery locations to protect personnel, infrastructure, and sensitive data.
**Access Controls**
• Badge-based access with electronic access control systems  
• Restricted entry to production areas and critical zones (e.g., server rooms)  
• Multi-factor authentication for high-security areas (e.g., data centers)  
**Monitoring &amp; Surveillance**
• 24/7 on-site security personnel  
• CCTV monitoring of entry points and operational areas  
**Visitor Management**
• Visitor registration, ID verification, and badge issuance  
• Mandatory escort within secure areas  
**Operational Controls**
• Client-level physical segregation where required  
• Clear desk and clear screen policies  
• Prohibition of unauthorized device usage and asset removal  
**Facility Resilience**
• Fire detection and suppression systems  
• Backup power and environmental controls  
These measures ensure controlled access, continuous monitoring, and protection of client operations.</t>
  </si>
  <si>
    <t>[Fraud RFI 5.7] Describe incident response, breach notification, and regulatory escalation procedures.</t>
  </si>
  <si>
    <t>Ubiquity maintains a formal Incident Response Plan (IRP) to detect, contain, and remediate security incidents in a timely and controlled manner.
**Detection &amp; Monitoring**
• 24/7 monitoring via Security Operations Center (SOC) and Managed Detection &amp; Response (MDR)  
• Real-time alerting and anomaly detection  
**Response Framework**
• Structured playbooks covering identification, containment, eradication, recovery, and post-incident review  
• Clearly defined roles, escalation paths, and communication protocols  
**Breach Notification**
• Client notification within 15–30 minutes of confirmed major incidents  
• Ongoing updates provided through agreed communication channels  
**Regulatory &amp; Escalation Procedures**
• Alignment with regulatory requirements for incident reporting  
• Escalation to executive leadership and compliance teams as required  
**Post-Incident Management**
• Root Cause Analysis (RCA) and Corrective Action Plans (CAPs)  
• Formal incident reports and lessons learned  
Incident response processes are tested regularly through tabletop and simulation exercises.</t>
  </si>
  <si>
    <t>[Fraud RFI 5.8] Provide your typical securty and architectural diagram for both system access, security, and client connectivity. What are the encryption methods in place?</t>
  </si>
  <si>
    <t>Ubiquity’s security architecture is designed to ensure secure system access, client connectivity, and data protection across all environments.
**Architecture Overview**
• Secure client connectivity via VPN, IPsec tunnels, or private network links  
• Integration through APIs (REST/SOAP) and secure file transfer (SFTP, HTTPS, AWS S3)  
• Network segmentation to isolate client environments and minimize risk exposure  
• Access governed by RBAC, least privilege, and Multi-Factor Authentication (MFA)  
• Centralized logging and monitoring via SIEM and SOC  
**Encryption Standards**
• Data at rest: AES-256 encryption  
• Data in transit: TLS 1.2/1.3, HTTPS, SFTP, IPsec VPN  
• Key management aligned with NIST and ISO standards  
**Additional Controls**
• Secure authentication and session management  
• Audit logging for all system and user activities  
• Regular vulnerability assessments and penetration testing  
This architecture ensures confidentiality, integrity, and secure connectivity for all client data and systems.</t>
  </si>
  <si>
    <t>[Fraud RFI 5.9] What is the disaster recovery and business continuity solution in place?  What is the recovery time (RTO)?</t>
  </si>
  <si>
    <t>Ubiquity maintains a comprehensive Business Continuity Plan (BCP) and Disaster Recovery Plan (DRP) to ensure service continuity and rapid recovery.
**Capabilities**
• Multi-site delivery with failover capability  
• Redundant infrastructure and data backups (offsite/cloud)  
• Crisis Management Team (BCMT) and command center activation  
• Quarterly testing (failover and simulation exercises)  
**Recovery Objectives**
• RTO: Typically within 24–72 hours (program-specific)  
• RPO: Defined per client and data criticality  
Plans are reviewed and tested regularly to ensure operational resilience and minimal disruption.</t>
  </si>
  <si>
    <t>[Fraud RFI 5.10] How is client data isolated and segregrated between clients?</t>
  </si>
  <si>
    <t>Ubiquity enforces strict logical and physical data segregation across clients.
**Logical Controls**
• Network segmentation and environment isolation  
• Client-specific RBAC permissions  
• Dedicated system access and data partitioning  
**Physical Controls**
• Segregated work areas (as required by client)  
• Restricted access via badge controls  
These controls prevent cross-client data exposure and ensure secure multi-tenant operations.</t>
  </si>
  <si>
    <t>[Fraud RFI 5.11] How is AI leveaged in your outsourcing processes?  What services are used/available?</t>
  </si>
  <si>
    <t>Ubiquity leverages AI and automation to enhance fraud operations while maintaining human oversight.
**Use Cases**
• AI-driven QA and speech analytics (e.g., ZViQ)  
• Predictive analytics and trend detection  
• RPA (UiPath) for repetitive workflows (e.g., case handling)  
• Real-time coaching and performance insights (Aigent)  
**Capabilities**
• Workflow automation and case prioritization  
• Sentiment and behavioral analysis  
• Integration with client systems and data sources  
All AI usage operates within client-defined controls and data security requirements.</t>
  </si>
  <si>
    <t>M. Fraud Ops - Vetting &amp; Hiring</t>
  </si>
  <si>
    <t>[Fraud RFI 6.1] Describe background check requirements for fraud staff (criminal, credit, employment, education).</t>
  </si>
  <si>
    <t>Ubiquity conducts comprehensive pre-employment screening for fraud staff:
• Criminal background checks (e.g., NBI clearance)  
• Employment verification  
• Education verification  
• OFAC sanctions screening  
Additional checks (e.g., credit) can be performed based on client requirements.</t>
  </si>
  <si>
    <t>[Fraud RFI 6.2] Describe screening performed prior to granting system access.</t>
  </si>
  <si>
    <t>Prior to system access:
• Completion of background checks and onboarding requirements  
• Security and compliance training certification  
• Access provisioning via RBAC and least-privilege principles  
• Formal approval workflows for system access  
Access is only granted upon full compliance with security requirements.</t>
  </si>
  <si>
    <t>[Fraud RFI 6.3] Explain how conflicts of interest are identified and managed.</t>
  </si>
  <si>
    <t>Ubiquity manages conflicts of interest through:
• Employee disclosure requirements during onboarding  
• Policies prohibiting unauthorized data access or misuse  
• Segregation of duties and role-based controls  
Potential conflicts are escalated to Compliance and mitigated through reassignment or access restriction.</t>
  </si>
  <si>
    <t>[Fraud RFI 6.4] Describe ongoing monitoring or re-screening practices for employees.</t>
  </si>
  <si>
    <t>Ubiquity maintains ongoing employee monitoring and compliance controls:
• Annual re-certification (security and compliance training)  
• Continuous monitoring via endpoint and SOC tools  
• Periodic access reviews and audits  
• Security awareness programs (e.g., phishing simulations)  
These controls ensure sustained compliance and risk mitigation.</t>
  </si>
  <si>
    <t>M. Fraud Ops - Training &amp; WFM</t>
  </si>
  <si>
    <t>[Fraud RFI 7.1] Describe initial fraud training curriculum for new hires.</t>
  </si>
  <si>
    <t>Initial training includes:
• Fraud detection and investigation techniques  
• Regulatory compliance (BSA/AML, Reg E/Z, OFAC, etc.)  
• Data security and privacy  
• Client-specific processes and systems  
Delivered via instructor-led training, eLearning, and simulations with certification requirements.</t>
  </si>
  <si>
    <t>[Fraud RFI 7.2] Describe ongoing and refresher training requirements.</t>
  </si>
  <si>
    <t xml:space="preserve">Ongoing training includes:
• Monthly refresher training (compliance, product updates)  
• QA-driven coaching and targeted retraining  
• Annual compliance recertification  
• Continuous improvement sessions based on performance trends  </t>
  </si>
  <si>
    <t>[Fraud RFI 7.3] List professional certifications held by fraud staff (CFE, CAMS, CFCS).</t>
  </si>
  <si>
    <t>[Fraud RFI 7.4] Describe how client-specific policies and risk appetite are embedded into training.</t>
  </si>
  <si>
    <t>Client-specific policies and risk appetite are embedded through:
• Customized training curriculum and SOPs  
• Client-approved materials and workflows  
• Ongoing calibration sessions and feedback loops  
Ensures alignment with client risk tolerance and regulatory expectations.</t>
  </si>
  <si>
    <t>[Fraud RFI 7.5] Provide average analyst tenure and annual attrition rates.</t>
  </si>
  <si>
    <t>• Average analyst tenure: ~1.5–3+ years  
• Annual attrition: ~5–6% (recent trends)  
Retention is supported through career development and engagement programs.</t>
  </si>
  <si>
    <t>M. Fraud Ops - Functional Expertise</t>
  </si>
  <si>
    <t>[Fraud RFI 8.1] Describe experience across channels (card, ACH, wire, ATO, P2P).</t>
  </si>
  <si>
    <t>Ubiquity has extensive experience supporting fraud operations across multiple payment channels for banking and fintech clients.
**Channels Supported**
• Card (debit and credit): fraud intake, dispute handling, chargebacks, and transaction investigations  
• ACH: unauthorized transaction reviews, return processing, and Reg E compliance  
• Wire: high-risk transaction validation, escalation handling, and investigation support  
• Account Takeover (ATO): identity verification, account recovery, and fraud mitigation  
• P2P / Digital Payments: unauthorized transfer investigations and dispute resolution  
**Experience &amp; Scale**
• ~1.5M+ disputed transactions processed monthly  
• Support across end-to-end workflows including intake, investigation, disposition, and reporting  
Ubiquity operates within client-defined systems, policies, and regulatory frameworks to ensure consistent, compliant fraud handling across all channels.</t>
  </si>
  <si>
    <t>[Fraud RFI 8.2] Describe decision-making approach in ambiguous fraud scenarios.</t>
  </si>
  <si>
    <t>Ubiquity applies a structured, risk-based decision framework for ambiguous fraud scenarios.
• Decisions guided by client-defined rules, thresholds, and regulatory requirements  
• Analysis of transaction data, behavioral patterns, and historical activity  
• Review of supporting evidence (e.g., device data, prior disputes, customer statements)  
• Escalation to senior analysts or supervisors for complex or unclear cases  
Where required, dual-review protocols are applied to ensure accuracy and consistency.</t>
  </si>
  <si>
    <t>[Fraud RFI 8.3] Explain how analytics, rules, or AI support analyst decisions.</t>
  </si>
  <si>
    <t>Analyst decisions are supported through a combination of rules, analytics, and AI:
• Client-defined rules engines and decision frameworks  
• Real-time dashboards and historical reporting for trend visibility  
• AI-driven analytics (e.g., QA, sentiment, anomaly detection)  
• RPA for workflow automation and case handling efficiency  
These tools enhance decision accuracy while maintaining human oversight.</t>
  </si>
  <si>
    <t>[Fraud RFI 8.4] Describe how emerging fraud trends are identified and escalated.</t>
  </si>
  <si>
    <t>Ubiquity identifies and escalates emerging fraud trends through:
• Analysis of internal case data and QA findings  
• Monitoring of industry alerts, card network updates, and client inputs  
• Trend reporting and escalation to client stakeholders  
Validated trends are incorporated into SOPs, training, and rule updates to mitigate risk.</t>
  </si>
  <si>
    <t>[Fraud RFI 8.5] Describe end-to-end fraud alert review and disposition process.</t>
  </si>
  <si>
    <t>Ubiquity supports the full fraud lifecycle:
1. Intake &amp; Triage (alerts, customer contact, or system triggers)  
2. Case Creation &amp; Classification  
3. Investigation (transaction review, behavioral analysis, documentation)  
4. Decision &amp; Disposition (fraud / non-fraud / escalate)  
5. Action (e.g., blocking, chargeback, recovery)  
6. Documentation &amp; Reporting  
All activities are tracked within case management systems with full auditability.</t>
  </si>
  <si>
    <t>[Fraud RFI 8.6] Explain controls governing account blocking and unblocking actions.</t>
  </si>
  <si>
    <t>Account blocking/unblocking actions are governed by strict controls:
• Executed per client SOPs and authorization rules  
• Role-based access restrictions (RBAC)  
• Mandatory logging of all actions  
Controls ensure actions are consistent, authorized, and auditable.</t>
  </si>
  <si>
    <t>[Fraud RFI 8.7] Describe dual-control or approval requirements for high-risk actions.</t>
  </si>
  <si>
    <t>High-risk actions (e.g., account unblocking) require dual control:
• Secondary approval by supervisor or authorized personnel  
• Segregation of duties enforced  
Applied based on client-defined risk thresholds.</t>
  </si>
  <si>
    <t>[Fraud RFI 8.8] Describe how improper blocks/unblocks are detected and remediated.</t>
  </si>
  <si>
    <t>Improper blocks/unblocks are identified through:
• QA audits and monitoring  
• Exception and variance reporting  
• Customer complaints and escalations  
Remediation includes RCA, corrective actions, retraining, and process updates.</t>
  </si>
  <si>
    <t>[Fraud RFI 8.9] Describe documentation and audit trails maintained for fraud decisions.</t>
  </si>
  <si>
    <t>Ubiquity maintains comprehensive documentation and audit trails:
• Full case history and supporting evidence  
• System logs (user ID, timestamp, actions taken)  
• Decision rationale and outcomes  
All records are retained for audit, compliance, and forensic review.</t>
  </si>
  <si>
    <t>M. Fraud Ops - SLA</t>
  </si>
  <si>
    <t>[Fraud RFI 8.10] Describe your overall SLA framework and governance for fraud operations engagements.</t>
  </si>
  <si>
    <t>Ubiquity defines SLAs jointly with clients, supported by structured governance.
**Framework**
• Defined SLAs for response, resolution, quality, and compliance  
• Real-time monitoring and reporting  
**Governance**
• Weekly/monthly reviews  
• RCA (24–72 hours) for SLA misses  
• CAP tracking and continuous improvement  
SLAs are aligned to client requirements and regulatory expectations.</t>
  </si>
  <si>
    <t>[Fraud RFI 8.11] Describe your typical Fraud Alert Handling &amp; Timeliness SLAs .</t>
  </si>
  <si>
    <t>Typical SLAs include:
• Alert review: near real-time to same-day (based on priority)  
• Case resolution: ~5 calendar days (standard benchmark)  
SLA targets are finalized per client requirements.</t>
  </si>
  <si>
    <t>[Fraud RFI 8.12] Describe your typical Account blocking/unblocking SLAs.</t>
  </si>
  <si>
    <t>• Blocking: near real-time or within minutes for high-risk events  
• Unblocking: same-day or within defined SLA after validation  
Aligned to risk level and client policies.</t>
  </si>
  <si>
    <t>[Fraud RFI 8.13] Describe your escalation and handoff SLAs.</t>
  </si>
  <si>
    <t>• Tier 1 acknowledgement: within 1–2 hours  
• RCA completion: within 24–72 hours  
• CAP implementation: within ~14 days  
Escalations follow a structured tiered model.</t>
  </si>
  <si>
    <t>[Fraud RFI 8.14] What are your quality and accuracy SLAs.</t>
  </si>
  <si>
    <t>Typical targets:
• Quality: ≥95%  
• Compliance accuracy: 100%  
• CSAT: ~90%  
• First Contact Resolution: ~85%  
Final targets are agreed during contracting.</t>
  </si>
  <si>
    <t>[Fraud RFI 8.15] Are service credits tied to SLA falures?  If so, describe the process.</t>
  </si>
  <si>
    <t>Yes. Ubiquity supports service credits tied to SLA performance.
• Credits triggered by missed SLAs  
• RCA and CAP required for all breaches  
• Optional gainshare for exceeding targets  
Terms are defined contractually.</t>
  </si>
  <si>
    <t>M. Fraud Ops - Regulatory Support</t>
  </si>
  <si>
    <t>[Fraud RFI 9.1] Describe your experience supporting bank regulatory exams or audits.</t>
  </si>
  <si>
    <t xml:space="preserve">Ubiquity supports regulatory and client audits through dedicated audit, risk, and compliance teams.
• Experience with internal, client, and third-party audits  
• Findings tracked in centralized action registry  
• Full audit support including documentation and remediation  </t>
  </si>
  <si>
    <t>[Fraud RFI 9.2] Explain how you support OCC/FDIC third-party risk management expectations.</t>
  </si>
  <si>
    <t>Ubiquity aligns with third-party risk management expectations:
• Formal risk framework (NIST, ISO aligned)  
• Vendor risk management and audit readiness  
• Transparent reporting and governance  
Supports client compliance with OCC/FDIC requirements.</t>
  </si>
  <si>
    <t>[Fraud RFI 9.3] Describe how regulatory inquiries, MRAs, or issues are supported and remediated.</t>
  </si>
  <si>
    <t>• Issues logged in centralized risk registry  
• RCA and CAP development with defined ownership  
• Ongoing tracking until closure  
Ensures timely and auditable remediation.</t>
  </si>
  <si>
    <t>[Fraud RFI 9.4] Describe documentation, evidence, and SME support provided during exams.</t>
  </si>
  <si>
    <t>• Preparation of documentation and evidence  
• SME participation during audits and reviews  
• Support for RCA, CAP, and reporting  
Ensures readiness and responsiveness during exams.</t>
  </si>
  <si>
    <t>[Fraud RFI 9.5] Describe how regulatory changes are monitored and operationalized.</t>
  </si>
  <si>
    <t>Ubiquity operationalizes regulatory changes through:
• Continuous monitoring by compliance and audit teams  
• Policy updates and version-controlled documentation  
• Training rollout and SOP updates  
• Governance through GRC platform and Policy Committee  
Ensures timely and controlled implementation of regulatory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</si>
</sst>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scheme val="minor"/>
    </font>
    <font>
      <b/>
      <sz val="16"/>
      <color rgb="FF1F4E79"/>
      <name val="Calibri"/>
    </font>
    <font>
      <i/>
      <sz val="11"/>
      <color rgb="FF404040"/>
      <name val="Calibri"/>
    </font>
    <font>
      <b/>
      <sz val="11"/>
      <color rgb="FF1F4E79"/>
      <name val="Calibri"/>
    </font>
    <font>
      <sz val="11"/>
      <name val="Calibri"/>
    </font>
    <font>
      <b/>
      <sz val="11"/>
      <color theme="1"/>
      <name val="Calibri"/>
    </font>
    <font>
      <sz val="11"/>
      <color rgb="FF0000FF"/>
      <name val="Calibri"/>
    </font>
    <font>
      <sz val="11"/>
      <color theme="1"/>
      <name val="Calibri"/>
    </font>
    <font>
      <b/>
      <sz val="11"/>
      <color rgb="FFFFFFFF"/>
      <name val="Calibri"/>
    </font>
    <font>
      <sz val="11"/>
      <color rgb="FF000000"/>
      <name val="Microsoft Sans Serif"/>
    </font>
  </fonts>
  <fills count="5">
    <fill>
      <patternFill patternType="none"/>
    </fill>
    <fill>
      <patternFill patternType="gray125"/>
    </fill>
    <fill>
      <patternFill patternType="solid">
        <fgColor rgb="FFD9E1F2"/>
        <bgColor rgb="FFD9E1F2"/>
      </patternFill>
    </fill>
    <fill>
      <patternFill patternType="solid">
        <fgColor rgb="FFFFF2CC"/>
        <bgColor rgb="FFFFF2CC"/>
      </patternFill>
    </fill>
    <fill>
      <patternFill patternType="solid">
        <fgColor rgb="FF1F4E79"/>
        <bgColor rgb="FF1F4E79"/>
      </patternFill>
    </fill>
  </fills>
  <borders count="6">
    <border>
      <left/>
      <right/>
      <top/>
      <bottom/>
      <diagonal/>
    </border>
    <border>
      <left/>
      <right/>
      <top/>
      <bottom/>
      <diagonal/>
    </border>
    <border>
      <left style="thin">
        <color rgb="FF9E9E9E"/>
      </left>
      <right style="thin">
        <color rgb="FF9E9E9E"/>
      </right>
      <top style="thin">
        <color rgb="FF9E9E9E"/>
      </top>
      <bottom style="thin">
        <color rgb="FF9E9E9E"/>
      </bottom>
      <diagonal/>
    </border>
    <border>
      <left style="thin">
        <color rgb="FF9E9E9E"/>
      </left>
      <right/>
      <top style="thin">
        <color rgb="FF9E9E9E"/>
      </top>
      <bottom style="thin">
        <color rgb="FF9E9E9E"/>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19">
    <xf numFmtId="0" fontId="0" fillId="0" borderId="0" xfId="0"/>
    <xf numFmtId="0" fontId="5" fillId="0" borderId="2" xfId="0" applyFont="1" applyBorder="1" applyAlignment="1">
      <alignment vertical="center"/>
    </xf>
    <xf numFmtId="0" fontId="8" fillId="4" borderId="2" xfId="0" applyFont="1" applyFill="1" applyBorder="1" applyAlignment="1">
      <alignment horizontal="center" vertical="center" wrapText="1"/>
    </xf>
    <xf numFmtId="0" fontId="7" fillId="0" borderId="2" xfId="0" applyFont="1" applyBorder="1" applyAlignment="1">
      <alignment vertical="top" wrapText="1"/>
    </xf>
    <xf numFmtId="0" fontId="7" fillId="0" borderId="2" xfId="0" applyFont="1" applyBorder="1" applyAlignment="1">
      <alignment vertical="center"/>
    </xf>
    <xf numFmtId="164" fontId="7" fillId="0" borderId="2" xfId="0" applyNumberFormat="1" applyFont="1" applyBorder="1" applyAlignment="1">
      <alignment vertical="center"/>
    </xf>
    <xf numFmtId="0" fontId="7" fillId="0" borderId="2" xfId="0" applyFont="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vertical="top" wrapText="1"/>
    </xf>
    <xf numFmtId="0" fontId="6" fillId="3" borderId="2" xfId="0" applyFont="1" applyFill="1" applyBorder="1" applyAlignment="1">
      <alignment vertical="top" wrapText="1"/>
    </xf>
    <xf numFmtId="0" fontId="6" fillId="3" borderId="3" xfId="0" applyFont="1" applyFill="1" applyBorder="1" applyAlignment="1">
      <alignment vertical="center" wrapText="1"/>
    </xf>
    <xf numFmtId="0" fontId="7" fillId="0" borderId="0" xfId="0" applyFont="1" applyAlignment="1">
      <alignment horizontal="left" vertical="top" wrapText="1"/>
    </xf>
    <xf numFmtId="0" fontId="1" fillId="0" borderId="0" xfId="0" applyFont="1" applyAlignment="1"/>
    <xf numFmtId="0" fontId="0" fillId="0" borderId="0" xfId="0" applyAlignment="1"/>
    <xf numFmtId="0" fontId="2" fillId="0" borderId="0" xfId="0" applyFont="1" applyAlignment="1"/>
    <xf numFmtId="0" fontId="3" fillId="2" borderId="1" xfId="0" applyFont="1" applyFill="1" applyBorder="1" applyAlignment="1"/>
    <xf numFmtId="0" fontId="4" fillId="0" borderId="1" xfId="0" applyFont="1" applyBorder="1" applyAlignment="1"/>
    <xf numFmtId="0" fontId="4" fillId="0" borderId="4" xfId="0" applyFont="1" applyBorder="1" applyAlignment="1"/>
    <xf numFmtId="0" fontId="4" fillId="0" borderId="5" xfId="0" applyFont="1" applyBorder="1" applyAlignment="1"/>
  </cellXfs>
  <cellStyles count="1">
    <cellStyle name="Normal" xfId="0" builtinId="0"/>
  </cellStyles>
  <dxfs count="5">
    <dxf>
      <fill>
        <patternFill patternType="solid">
          <fgColor rgb="FFFFEB9C"/>
          <bgColor rgb="FFFFEB9C"/>
        </patternFill>
      </fill>
    </dxf>
    <dxf>
      <fill>
        <patternFill patternType="solid">
          <fgColor rgb="FFC6E0B4"/>
          <bgColor rgb="FFC6E0B4"/>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showGridLines="0" workbookViewId="0"/>
  </sheetViews>
  <sheetFormatPr defaultColWidth="14.42578125" defaultRowHeight="15" customHeight="1"/>
  <cols>
    <col min="1" max="1" width="32" customWidth="1"/>
    <col min="2" max="4" width="28" customWidth="1"/>
    <col min="5" max="26" width="8.7109375" customWidth="1"/>
  </cols>
  <sheetData>
    <row r="1" spans="1:4" ht="14.25" customHeight="1">
      <c r="A1" s="12" t="s">
        <v>0</v>
      </c>
      <c r="B1" s="13"/>
      <c r="C1" s="13"/>
      <c r="D1" s="13"/>
    </row>
    <row r="2" spans="1:4" ht="14.25" customHeight="1">
      <c r="A2" s="14" t="s">
        <v>1</v>
      </c>
      <c r="B2" s="13"/>
      <c r="C2" s="13"/>
      <c r="D2" s="13"/>
    </row>
    <row r="3" spans="1:4" ht="14.25" customHeight="1">
      <c r="A3" s="15" t="s">
        <v>2</v>
      </c>
      <c r="B3" s="16"/>
      <c r="C3" s="16"/>
      <c r="D3" s="16"/>
    </row>
    <row r="4" spans="1:4" ht="14.25" customHeight="1">
      <c r="A4" s="1" t="s">
        <v>3</v>
      </c>
      <c r="B4" s="10" t="s">
        <v>4</v>
      </c>
      <c r="C4" s="17"/>
      <c r="D4" s="18"/>
    </row>
    <row r="5" spans="1:4" ht="14.25" customHeight="1">
      <c r="A5" s="1" t="s">
        <v>5</v>
      </c>
      <c r="B5" s="10" t="s">
        <v>6</v>
      </c>
      <c r="C5" s="17"/>
      <c r="D5" s="18"/>
    </row>
    <row r="6" spans="1:4" ht="14.25" customHeight="1">
      <c r="A6" s="1" t="s">
        <v>7</v>
      </c>
      <c r="B6" s="10" t="s">
        <v>8</v>
      </c>
      <c r="C6" s="17"/>
      <c r="D6" s="18"/>
    </row>
    <row r="7" spans="1:4" ht="14.25" customHeight="1">
      <c r="A7" s="1" t="s">
        <v>9</v>
      </c>
      <c r="B7" s="10" t="s">
        <v>10</v>
      </c>
      <c r="C7" s="17"/>
      <c r="D7" s="18"/>
    </row>
    <row r="8" spans="1:4" ht="14.25" customHeight="1">
      <c r="A8" s="1" t="s">
        <v>11</v>
      </c>
      <c r="B8" s="10" t="s">
        <v>12</v>
      </c>
      <c r="C8" s="17"/>
      <c r="D8" s="18"/>
    </row>
    <row r="9" spans="1:4" ht="14.25" customHeight="1">
      <c r="A9" s="1" t="s">
        <v>13</v>
      </c>
      <c r="B9" s="10" t="s">
        <v>14</v>
      </c>
      <c r="C9" s="17"/>
      <c r="D9" s="18"/>
    </row>
    <row r="10" spans="1:4" ht="14.25" customHeight="1">
      <c r="A10" s="1" t="s">
        <v>15</v>
      </c>
      <c r="B10" s="10" t="s">
        <v>16</v>
      </c>
      <c r="C10" s="17"/>
      <c r="D10" s="18"/>
    </row>
    <row r="11" spans="1:4" ht="14.25" customHeight="1">
      <c r="A11" s="1" t="s">
        <v>17</v>
      </c>
      <c r="B11" s="10" t="s">
        <v>18</v>
      </c>
      <c r="C11" s="17"/>
      <c r="D11" s="18"/>
    </row>
    <row r="12" spans="1:4" ht="14.25" customHeight="1">
      <c r="A12" s="1" t="s">
        <v>19</v>
      </c>
      <c r="B12" s="10" t="s">
        <v>18</v>
      </c>
      <c r="C12" s="17"/>
      <c r="D12" s="18"/>
    </row>
    <row r="13" spans="1:4" ht="14.25" customHeight="1"/>
    <row r="14" spans="1:4" ht="14.25" customHeight="1"/>
    <row r="15" spans="1:4" ht="14.25" customHeight="1"/>
    <row r="16" spans="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6:D6"/>
    <mergeCell ref="B7:D7"/>
    <mergeCell ref="A1:D1"/>
    <mergeCell ref="A2:D2"/>
    <mergeCell ref="A3:D3"/>
    <mergeCell ref="B4:D4"/>
    <mergeCell ref="B5:D5"/>
    <mergeCell ref="B8:D8"/>
    <mergeCell ref="B9:D9"/>
    <mergeCell ref="B10:D10"/>
    <mergeCell ref="B11:D11"/>
    <mergeCell ref="B12:D12"/>
  </mergeCells>
  <pageMargins left="0.7" right="0.7" top="0.75" bottom="0.75" header="0" footer="0"/>
  <pageSetup orientation="landscape"/>
  <headerFooter>
    <oddHeader>&amp;L000000 Confidential#_x000D_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showGridLines="0" workbookViewId="0"/>
  </sheetViews>
  <sheetFormatPr defaultColWidth="14.42578125" defaultRowHeight="15" customHeight="1"/>
  <cols>
    <col min="1" max="1" width="24" customWidth="1"/>
    <col min="2" max="3" width="52" customWidth="1"/>
    <col min="4" max="26" width="8.7109375" customWidth="1"/>
  </cols>
  <sheetData>
    <row r="1" spans="1:3" ht="14.25" customHeight="1">
      <c r="A1" s="12" t="s">
        <v>20</v>
      </c>
      <c r="B1" s="13"/>
      <c r="C1" s="13"/>
    </row>
    <row r="2" spans="1:3" ht="14.25" customHeight="1"/>
    <row r="3" spans="1:3" ht="14.25" customHeight="1">
      <c r="A3" s="15" t="s">
        <v>21</v>
      </c>
      <c r="B3" s="16"/>
      <c r="C3" s="16"/>
    </row>
    <row r="4" spans="1:3" ht="14.25" customHeight="1">
      <c r="A4" s="11" t="s">
        <v>22</v>
      </c>
      <c r="B4" s="13"/>
      <c r="C4" s="13"/>
    </row>
    <row r="5" spans="1:3" ht="14.25" customHeight="1">
      <c r="A5" s="11" t="s">
        <v>23</v>
      </c>
      <c r="B5" s="13"/>
      <c r="C5" s="13"/>
    </row>
    <row r="6" spans="1:3" ht="14.25" customHeight="1">
      <c r="A6" s="11" t="s">
        <v>24</v>
      </c>
      <c r="B6" s="13"/>
      <c r="C6" s="13"/>
    </row>
    <row r="7" spans="1:3" ht="14.25" customHeight="1">
      <c r="A7" s="11" t="s">
        <v>25</v>
      </c>
      <c r="B7" s="13"/>
      <c r="C7" s="13"/>
    </row>
    <row r="8" spans="1:3" ht="14.25" customHeight="1">
      <c r="A8" s="11" t="s">
        <v>26</v>
      </c>
      <c r="B8" s="13"/>
      <c r="C8" s="13"/>
    </row>
    <row r="9" spans="1:3" ht="14.25" customHeight="1"/>
    <row r="10" spans="1:3" ht="14.25" customHeight="1"/>
    <row r="11" spans="1:3" ht="14.25" customHeight="1">
      <c r="A11" s="15" t="s">
        <v>27</v>
      </c>
      <c r="B11" s="16"/>
      <c r="C11" s="16"/>
    </row>
    <row r="12" spans="1:3" ht="14.25" customHeight="1">
      <c r="A12" s="2" t="s">
        <v>28</v>
      </c>
      <c r="B12" s="2" t="s">
        <v>29</v>
      </c>
      <c r="C12" s="2" t="s">
        <v>30</v>
      </c>
    </row>
    <row r="13" spans="1:3" ht="14.25" customHeight="1">
      <c r="A13" s="3" t="s">
        <v>31</v>
      </c>
      <c r="B13" s="3" t="s">
        <v>32</v>
      </c>
      <c r="C13" s="3" t="s">
        <v>33</v>
      </c>
    </row>
    <row r="14" spans="1:3" ht="14.25" customHeight="1">
      <c r="A14" s="3" t="s">
        <v>34</v>
      </c>
      <c r="B14" s="3" t="s">
        <v>35</v>
      </c>
      <c r="C14" s="3" t="s">
        <v>36</v>
      </c>
    </row>
    <row r="15" spans="1:3" ht="14.25" customHeight="1">
      <c r="A15" s="3" t="s">
        <v>37</v>
      </c>
      <c r="B15" s="3" t="s">
        <v>38</v>
      </c>
      <c r="C15" s="3" t="s">
        <v>39</v>
      </c>
    </row>
    <row r="16" spans="1:3" ht="14.25" customHeight="1">
      <c r="A16" s="3" t="s">
        <v>40</v>
      </c>
      <c r="B16" s="3" t="s">
        <v>41</v>
      </c>
      <c r="C16" s="3" t="s">
        <v>42</v>
      </c>
    </row>
    <row r="17" spans="1:3" ht="14.25" customHeight="1">
      <c r="A17" s="3" t="s">
        <v>43</v>
      </c>
      <c r="B17" s="3" t="s">
        <v>44</v>
      </c>
      <c r="C17" s="3" t="s">
        <v>45</v>
      </c>
    </row>
    <row r="18" spans="1:3" ht="14.25" customHeight="1">
      <c r="A18" s="3" t="s">
        <v>46</v>
      </c>
      <c r="B18" s="3" t="s">
        <v>47</v>
      </c>
      <c r="C18" s="3" t="s">
        <v>48</v>
      </c>
    </row>
    <row r="19" spans="1:3" ht="14.25" customHeight="1">
      <c r="A19" s="3" t="s">
        <v>49</v>
      </c>
      <c r="B19" s="3" t="s">
        <v>50</v>
      </c>
      <c r="C19" s="3" t="s">
        <v>42</v>
      </c>
    </row>
    <row r="20" spans="1:3" ht="14.25" customHeight="1">
      <c r="A20" s="3" t="s">
        <v>51</v>
      </c>
      <c r="B20" s="3" t="s">
        <v>52</v>
      </c>
      <c r="C20" s="3" t="s">
        <v>53</v>
      </c>
    </row>
    <row r="21" spans="1:3" ht="14.25" customHeight="1">
      <c r="A21" s="3" t="s">
        <v>54</v>
      </c>
      <c r="B21" s="3" t="s">
        <v>55</v>
      </c>
      <c r="C21" s="3" t="s">
        <v>42</v>
      </c>
    </row>
    <row r="22" spans="1:3" ht="14.25" customHeight="1"/>
    <row r="23" spans="1:3" ht="14.25" customHeight="1"/>
    <row r="24" spans="1:3" ht="14.25" customHeight="1"/>
    <row r="25" spans="1:3" ht="14.25" customHeight="1"/>
    <row r="26" spans="1:3" ht="14.25" customHeight="1"/>
    <row r="27" spans="1:3" ht="14.25" customHeight="1"/>
    <row r="28" spans="1:3" ht="14.25" customHeight="1"/>
    <row r="29" spans="1:3" ht="14.25" customHeight="1"/>
    <row r="30" spans="1:3" ht="14.25" customHeight="1"/>
    <row r="31" spans="1:3" ht="14.25" customHeight="1"/>
    <row r="32" spans="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7:C7"/>
    <mergeCell ref="A8:C8"/>
    <mergeCell ref="A11:C11"/>
    <mergeCell ref="A1:C1"/>
    <mergeCell ref="A3:C3"/>
    <mergeCell ref="A4:C4"/>
    <mergeCell ref="A5:C5"/>
    <mergeCell ref="A6:C6"/>
  </mergeCells>
  <pageMargins left="0.7" right="0.7" top="0.75" bottom="0.75" header="0" footer="0"/>
  <pageSetup orientation="landscape"/>
  <headerFooter>
    <oddHeader>&amp;L000000 Confidential#_x000D_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1000"/>
  <sheetViews>
    <sheetView showGridLines="0" tabSelected="1" workbookViewId="0">
      <pane ySplit="10" topLeftCell="A95" activePane="bottomLeft" state="frozen"/>
      <selection pane="bottomLeft" activeCell="B106" sqref="B106"/>
    </sheetView>
  </sheetViews>
  <sheetFormatPr defaultColWidth="14.42578125" defaultRowHeight="15" customHeight="1"/>
  <cols>
    <col min="1" max="2" width="18" customWidth="1"/>
    <col min="3" max="3" width="64" customWidth="1"/>
    <col min="4" max="4" width="24" customWidth="1"/>
    <col min="5" max="5" width="10" customWidth="1"/>
    <col min="6" max="6" width="12" customWidth="1"/>
    <col min="7" max="7" width="64" customWidth="1"/>
    <col min="8" max="8" width="32" customWidth="1"/>
    <col min="9" max="9" width="28" customWidth="1"/>
    <col min="10" max="10" width="12" customWidth="1"/>
    <col min="11" max="26" width="8.7109375" customWidth="1"/>
  </cols>
  <sheetData>
    <row r="1" spans="1:10" ht="14.25" customHeight="1">
      <c r="A1" s="12" t="s">
        <v>56</v>
      </c>
      <c r="B1" s="13"/>
      <c r="C1" s="13"/>
      <c r="D1" s="13"/>
      <c r="E1" s="13"/>
      <c r="F1" s="13"/>
      <c r="G1" s="13"/>
      <c r="H1" s="13"/>
      <c r="I1" s="13"/>
      <c r="J1" s="13"/>
    </row>
    <row r="2" spans="1:10" ht="14.25" customHeight="1">
      <c r="A2" s="14" t="s">
        <v>57</v>
      </c>
      <c r="B2" s="13"/>
      <c r="C2" s="13"/>
      <c r="D2" s="13"/>
      <c r="E2" s="13"/>
      <c r="F2" s="13"/>
      <c r="G2" s="13"/>
      <c r="H2" s="13"/>
      <c r="I2" s="13"/>
      <c r="J2" s="13"/>
    </row>
    <row r="3" spans="1:10" ht="14.25" customHeight="1"/>
    <row r="4" spans="1:10" ht="14.25" customHeight="1">
      <c r="A4" s="15" t="s">
        <v>58</v>
      </c>
      <c r="B4" s="16"/>
      <c r="C4" s="16"/>
      <c r="D4" s="16"/>
    </row>
    <row r="5" spans="1:10" ht="14.25" customHeight="1">
      <c r="A5" s="1" t="s">
        <v>59</v>
      </c>
      <c r="B5" s="4">
        <f>COUNTA(A11:A118)</f>
        <v>108</v>
      </c>
    </row>
    <row r="6" spans="1:10" ht="14.25" customHeight="1">
      <c r="A6" s="1" t="s">
        <v>60</v>
      </c>
      <c r="B6" s="4">
        <f>COUNTIF(E11:E118,"Yes")</f>
        <v>108</v>
      </c>
    </row>
    <row r="7" spans="1:10" ht="14.25" customHeight="1">
      <c r="A7" s="1" t="s">
        <v>61</v>
      </c>
      <c r="B7" s="4">
        <f>COUNTIFS(E11:E118,"Yes",J11:J118,"Complete")</f>
        <v>74</v>
      </c>
    </row>
    <row r="8" spans="1:10" ht="14.25" customHeight="1">
      <c r="A8" s="1" t="s">
        <v>62</v>
      </c>
      <c r="B8" s="5">
        <f>IF(B6=0,0,B7/B6)</f>
        <v>0.68518518518518523</v>
      </c>
    </row>
    <row r="9" spans="1:10" ht="14.25" customHeight="1"/>
    <row r="10" spans="1:10" ht="30" customHeight="1">
      <c r="A10" s="2" t="s">
        <v>63</v>
      </c>
      <c r="B10" s="2" t="s">
        <v>64</v>
      </c>
      <c r="C10" s="2" t="s">
        <v>65</v>
      </c>
      <c r="D10" s="2" t="s">
        <v>28</v>
      </c>
      <c r="E10" s="2" t="s">
        <v>66</v>
      </c>
      <c r="F10" s="2" t="s">
        <v>67</v>
      </c>
      <c r="G10" s="2" t="s">
        <v>68</v>
      </c>
      <c r="H10" s="2" t="s">
        <v>69</v>
      </c>
      <c r="I10" s="2" t="s">
        <v>70</v>
      </c>
      <c r="J10" s="2" t="s">
        <v>71</v>
      </c>
    </row>
    <row r="11" spans="1:10" ht="14.25" customHeight="1">
      <c r="A11" s="6">
        <v>1</v>
      </c>
      <c r="B11" s="3" t="s">
        <v>72</v>
      </c>
      <c r="C11" s="3" t="s">
        <v>73</v>
      </c>
      <c r="D11" s="3" t="s">
        <v>31</v>
      </c>
      <c r="E11" s="6" t="s">
        <v>74</v>
      </c>
      <c r="F11" s="7" t="s">
        <v>75</v>
      </c>
      <c r="G11" s="8" t="s">
        <v>76</v>
      </c>
      <c r="H11" s="9" t="s">
        <v>18</v>
      </c>
      <c r="I11" s="9" t="s">
        <v>18</v>
      </c>
      <c r="J11" s="6" t="str">
        <f t="shared" ref="J11:J118" si="0">IF($E11&lt;&gt;"Yes","Optional",IF(AND($G11&lt;&gt;"",IF(OR(ISNUMBER(SEARCH("Attachment",$D11)),ISNUMBER(SEARCH("Gantt",$D11)),ISNUMBER(SEARCH("Metrics",$D11)),ISNUMBER(SEARCH("Sample Reports",$D11))),$H11&lt;&gt;"",TRUE),IF(ISNUMBER(SEARCH("Yes/No",$D11)), $F11&lt;&gt;"", TRUE)),"Complete","Incomplete"))</f>
        <v>Complete</v>
      </c>
    </row>
    <row r="12" spans="1:10" ht="14.25" customHeight="1">
      <c r="A12" s="6">
        <v>2</v>
      </c>
      <c r="B12" s="3" t="s">
        <v>72</v>
      </c>
      <c r="C12" s="3" t="s">
        <v>77</v>
      </c>
      <c r="D12" s="3" t="s">
        <v>40</v>
      </c>
      <c r="E12" s="6" t="s">
        <v>74</v>
      </c>
      <c r="F12" s="7" t="s">
        <v>75</v>
      </c>
      <c r="G12" s="8" t="s">
        <v>78</v>
      </c>
      <c r="H12" s="9" t="s">
        <v>18</v>
      </c>
      <c r="I12" s="9" t="s">
        <v>18</v>
      </c>
      <c r="J12" s="6" t="str">
        <f t="shared" si="0"/>
        <v>Incomplete</v>
      </c>
    </row>
    <row r="13" spans="1:10" ht="14.25" customHeight="1">
      <c r="A13" s="6">
        <v>3</v>
      </c>
      <c r="B13" s="3" t="s">
        <v>72</v>
      </c>
      <c r="C13" s="3" t="s">
        <v>79</v>
      </c>
      <c r="D13" s="3" t="s">
        <v>34</v>
      </c>
      <c r="E13" s="6" t="s">
        <v>74</v>
      </c>
      <c r="F13" s="7" t="s">
        <v>75</v>
      </c>
      <c r="G13" s="8" t="s">
        <v>80</v>
      </c>
      <c r="H13" s="9" t="s">
        <v>18</v>
      </c>
      <c r="I13" s="9" t="s">
        <v>18</v>
      </c>
      <c r="J13" s="6" t="str">
        <f t="shared" si="0"/>
        <v>Complete</v>
      </c>
    </row>
    <row r="14" spans="1:10" ht="14.25" customHeight="1">
      <c r="A14" s="6">
        <v>4</v>
      </c>
      <c r="B14" s="3" t="s">
        <v>72</v>
      </c>
      <c r="C14" s="3" t="s">
        <v>81</v>
      </c>
      <c r="D14" s="3" t="s">
        <v>31</v>
      </c>
      <c r="E14" s="6" t="s">
        <v>74</v>
      </c>
      <c r="F14" s="7" t="s">
        <v>75</v>
      </c>
      <c r="G14" s="8" t="s">
        <v>82</v>
      </c>
      <c r="H14" s="9" t="s">
        <v>18</v>
      </c>
      <c r="I14" s="9" t="s">
        <v>18</v>
      </c>
      <c r="J14" s="6" t="str">
        <f t="shared" si="0"/>
        <v>Complete</v>
      </c>
    </row>
    <row r="15" spans="1:10" ht="14.25" customHeight="1">
      <c r="A15" s="6">
        <v>5</v>
      </c>
      <c r="B15" s="3" t="s">
        <v>72</v>
      </c>
      <c r="C15" s="3" t="s">
        <v>83</v>
      </c>
      <c r="D15" s="3" t="s">
        <v>34</v>
      </c>
      <c r="E15" s="6" t="s">
        <v>74</v>
      </c>
      <c r="F15" s="7" t="s">
        <v>75</v>
      </c>
      <c r="G15" s="8"/>
      <c r="H15" s="9" t="s">
        <v>18</v>
      </c>
      <c r="I15" s="9" t="s">
        <v>84</v>
      </c>
      <c r="J15" s="6" t="str">
        <f t="shared" si="0"/>
        <v>Incomplete</v>
      </c>
    </row>
    <row r="16" spans="1:10" ht="14.25" customHeight="1">
      <c r="A16" s="6">
        <v>6</v>
      </c>
      <c r="B16" s="3" t="s">
        <v>85</v>
      </c>
      <c r="C16" s="3" t="s">
        <v>86</v>
      </c>
      <c r="D16" s="3" t="s">
        <v>31</v>
      </c>
      <c r="E16" s="6" t="s">
        <v>74</v>
      </c>
      <c r="F16" s="7" t="s">
        <v>75</v>
      </c>
      <c r="G16" s="8" t="s">
        <v>87</v>
      </c>
      <c r="H16" s="9" t="s">
        <v>18</v>
      </c>
      <c r="I16" s="9" t="s">
        <v>18</v>
      </c>
      <c r="J16" s="6" t="str">
        <f t="shared" si="0"/>
        <v>Complete</v>
      </c>
    </row>
    <row r="17" spans="1:10" ht="14.25" customHeight="1">
      <c r="A17" s="6">
        <v>7</v>
      </c>
      <c r="B17" s="3" t="s">
        <v>85</v>
      </c>
      <c r="C17" s="3" t="s">
        <v>88</v>
      </c>
      <c r="D17" s="3" t="s">
        <v>46</v>
      </c>
      <c r="E17" s="6" t="s">
        <v>74</v>
      </c>
      <c r="F17" s="7" t="s">
        <v>75</v>
      </c>
      <c r="G17" s="8" t="s">
        <v>89</v>
      </c>
      <c r="H17" s="9" t="s">
        <v>18</v>
      </c>
      <c r="I17" s="9" t="s">
        <v>18</v>
      </c>
      <c r="J17" s="6" t="str">
        <f t="shared" si="0"/>
        <v>Complete</v>
      </c>
    </row>
    <row r="18" spans="1:10" ht="14.25" customHeight="1">
      <c r="A18" s="6">
        <v>8</v>
      </c>
      <c r="B18" s="3" t="s">
        <v>85</v>
      </c>
      <c r="C18" s="3" t="s">
        <v>90</v>
      </c>
      <c r="D18" s="3" t="s">
        <v>31</v>
      </c>
      <c r="E18" s="6" t="s">
        <v>74</v>
      </c>
      <c r="F18" s="7" t="s">
        <v>75</v>
      </c>
      <c r="G18" s="8" t="s">
        <v>91</v>
      </c>
      <c r="H18" s="9" t="s">
        <v>18</v>
      </c>
      <c r="I18" s="9" t="s">
        <v>18</v>
      </c>
      <c r="J18" s="6" t="str">
        <f t="shared" si="0"/>
        <v>Complete</v>
      </c>
    </row>
    <row r="19" spans="1:10" ht="14.25" customHeight="1">
      <c r="A19" s="6">
        <v>9</v>
      </c>
      <c r="B19" s="3" t="s">
        <v>85</v>
      </c>
      <c r="C19" s="3" t="s">
        <v>92</v>
      </c>
      <c r="D19" s="3" t="s">
        <v>31</v>
      </c>
      <c r="E19" s="6" t="s">
        <v>74</v>
      </c>
      <c r="F19" s="7" t="s">
        <v>75</v>
      </c>
      <c r="G19" s="8" t="s">
        <v>93</v>
      </c>
      <c r="H19" s="9" t="s">
        <v>18</v>
      </c>
      <c r="I19" s="9" t="s">
        <v>18</v>
      </c>
      <c r="J19" s="6" t="str">
        <f t="shared" si="0"/>
        <v>Complete</v>
      </c>
    </row>
    <row r="20" spans="1:10" ht="14.25" customHeight="1">
      <c r="A20" s="6">
        <v>10</v>
      </c>
      <c r="B20" s="3" t="s">
        <v>94</v>
      </c>
      <c r="C20" s="3" t="s">
        <v>95</v>
      </c>
      <c r="D20" s="3" t="s">
        <v>31</v>
      </c>
      <c r="E20" s="6" t="s">
        <v>74</v>
      </c>
      <c r="F20" s="7" t="s">
        <v>75</v>
      </c>
      <c r="G20" s="8" t="s">
        <v>96</v>
      </c>
      <c r="H20" s="9" t="s">
        <v>18</v>
      </c>
      <c r="I20" s="9" t="s">
        <v>18</v>
      </c>
      <c r="J20" s="6" t="str">
        <f t="shared" si="0"/>
        <v>Complete</v>
      </c>
    </row>
    <row r="21" spans="1:10" ht="14.25" customHeight="1">
      <c r="A21" s="6">
        <v>11</v>
      </c>
      <c r="B21" s="3" t="s">
        <v>94</v>
      </c>
      <c r="C21" s="3" t="s">
        <v>97</v>
      </c>
      <c r="D21" s="3" t="s">
        <v>51</v>
      </c>
      <c r="E21" s="6" t="s">
        <v>74</v>
      </c>
      <c r="F21" s="7" t="s">
        <v>75</v>
      </c>
      <c r="G21" s="8" t="s">
        <v>98</v>
      </c>
      <c r="H21" s="9" t="s">
        <v>18</v>
      </c>
      <c r="I21" s="9" t="s">
        <v>18</v>
      </c>
      <c r="J21" s="6" t="str">
        <f t="shared" si="0"/>
        <v>Incomplete</v>
      </c>
    </row>
    <row r="22" spans="1:10" ht="14.25" customHeight="1">
      <c r="A22" s="6">
        <v>12</v>
      </c>
      <c r="B22" s="3" t="s">
        <v>94</v>
      </c>
      <c r="C22" s="3" t="s">
        <v>99</v>
      </c>
      <c r="D22" s="3" t="s">
        <v>31</v>
      </c>
      <c r="E22" s="6" t="s">
        <v>74</v>
      </c>
      <c r="F22" s="7" t="s">
        <v>18</v>
      </c>
      <c r="G22" s="8" t="s">
        <v>100</v>
      </c>
      <c r="H22" s="9" t="s">
        <v>18</v>
      </c>
      <c r="I22" s="9" t="s">
        <v>18</v>
      </c>
      <c r="J22" s="6" t="str">
        <f t="shared" si="0"/>
        <v>Complete</v>
      </c>
    </row>
    <row r="23" spans="1:10" ht="14.25" customHeight="1">
      <c r="A23" s="6">
        <v>13</v>
      </c>
      <c r="B23" s="3" t="s">
        <v>94</v>
      </c>
      <c r="C23" s="3" t="s">
        <v>101</v>
      </c>
      <c r="D23" s="3" t="s">
        <v>46</v>
      </c>
      <c r="E23" s="6" t="s">
        <v>74</v>
      </c>
      <c r="F23" s="7" t="s">
        <v>18</v>
      </c>
      <c r="G23" s="8" t="s">
        <v>102</v>
      </c>
      <c r="H23" s="9" t="s">
        <v>18</v>
      </c>
      <c r="I23" s="9" t="s">
        <v>18</v>
      </c>
      <c r="J23" s="6" t="str">
        <f t="shared" si="0"/>
        <v>Incomplete</v>
      </c>
    </row>
    <row r="24" spans="1:10" ht="14.25" customHeight="1">
      <c r="A24" s="6">
        <v>14</v>
      </c>
      <c r="B24" s="3" t="s">
        <v>94</v>
      </c>
      <c r="C24" s="3" t="s">
        <v>103</v>
      </c>
      <c r="D24" s="3" t="s">
        <v>31</v>
      </c>
      <c r="E24" s="6" t="s">
        <v>74</v>
      </c>
      <c r="F24" s="7" t="s">
        <v>18</v>
      </c>
      <c r="G24" s="8" t="s">
        <v>104</v>
      </c>
      <c r="H24" s="9" t="s">
        <v>18</v>
      </c>
      <c r="I24" s="9" t="s">
        <v>18</v>
      </c>
      <c r="J24" s="6" t="str">
        <f t="shared" si="0"/>
        <v>Complete</v>
      </c>
    </row>
    <row r="25" spans="1:10" ht="14.25" customHeight="1">
      <c r="A25" s="6">
        <v>15</v>
      </c>
      <c r="B25" s="3" t="s">
        <v>105</v>
      </c>
      <c r="C25" s="3" t="s">
        <v>106</v>
      </c>
      <c r="D25" s="3" t="s">
        <v>46</v>
      </c>
      <c r="E25" s="6" t="s">
        <v>74</v>
      </c>
      <c r="F25" s="7" t="s">
        <v>18</v>
      </c>
      <c r="G25" s="8" t="s">
        <v>107</v>
      </c>
      <c r="H25" s="9" t="s">
        <v>18</v>
      </c>
      <c r="I25" s="9" t="s">
        <v>18</v>
      </c>
      <c r="J25" s="6" t="str">
        <f t="shared" si="0"/>
        <v>Incomplete</v>
      </c>
    </row>
    <row r="26" spans="1:10" ht="14.25" customHeight="1">
      <c r="A26" s="6">
        <v>16</v>
      </c>
      <c r="B26" s="3" t="s">
        <v>105</v>
      </c>
      <c r="C26" s="3" t="s">
        <v>108</v>
      </c>
      <c r="D26" s="3" t="s">
        <v>31</v>
      </c>
      <c r="E26" s="6" t="s">
        <v>74</v>
      </c>
      <c r="F26" s="7" t="s">
        <v>18</v>
      </c>
      <c r="G26" s="8" t="s">
        <v>109</v>
      </c>
      <c r="H26" s="9" t="s">
        <v>18</v>
      </c>
      <c r="I26" s="9" t="s">
        <v>18</v>
      </c>
      <c r="J26" s="6" t="str">
        <f t="shared" si="0"/>
        <v>Complete</v>
      </c>
    </row>
    <row r="27" spans="1:10" ht="14.25" customHeight="1">
      <c r="A27" s="6">
        <v>17</v>
      </c>
      <c r="B27" s="3" t="s">
        <v>105</v>
      </c>
      <c r="C27" s="3" t="s">
        <v>110</v>
      </c>
      <c r="D27" s="3" t="s">
        <v>31</v>
      </c>
      <c r="E27" s="6" t="s">
        <v>74</v>
      </c>
      <c r="F27" s="7" t="s">
        <v>18</v>
      </c>
      <c r="G27" s="8" t="s">
        <v>111</v>
      </c>
      <c r="H27" s="9" t="s">
        <v>18</v>
      </c>
      <c r="I27" s="9" t="s">
        <v>18</v>
      </c>
      <c r="J27" s="6" t="str">
        <f t="shared" si="0"/>
        <v>Complete</v>
      </c>
    </row>
    <row r="28" spans="1:10" ht="14.25" customHeight="1">
      <c r="A28" s="6">
        <v>18</v>
      </c>
      <c r="B28" s="3" t="s">
        <v>105</v>
      </c>
      <c r="C28" s="3" t="s">
        <v>112</v>
      </c>
      <c r="D28" s="3" t="s">
        <v>31</v>
      </c>
      <c r="E28" s="6" t="s">
        <v>74</v>
      </c>
      <c r="F28" s="7" t="s">
        <v>18</v>
      </c>
      <c r="G28" s="8" t="s">
        <v>113</v>
      </c>
      <c r="H28" s="9" t="s">
        <v>18</v>
      </c>
      <c r="I28" s="9" t="s">
        <v>18</v>
      </c>
      <c r="J28" s="6" t="str">
        <f t="shared" si="0"/>
        <v>Complete</v>
      </c>
    </row>
    <row r="29" spans="1:10" ht="14.25" customHeight="1">
      <c r="A29" s="6">
        <v>19</v>
      </c>
      <c r="B29" s="3" t="s">
        <v>114</v>
      </c>
      <c r="C29" s="3" t="s">
        <v>115</v>
      </c>
      <c r="D29" s="3" t="s">
        <v>31</v>
      </c>
      <c r="E29" s="6" t="s">
        <v>74</v>
      </c>
      <c r="F29" s="7" t="s">
        <v>18</v>
      </c>
      <c r="G29" s="8" t="s">
        <v>116</v>
      </c>
      <c r="H29" s="9" t="s">
        <v>18</v>
      </c>
      <c r="I29" s="9" t="s">
        <v>18</v>
      </c>
      <c r="J29" s="6" t="str">
        <f t="shared" si="0"/>
        <v>Complete</v>
      </c>
    </row>
    <row r="30" spans="1:10" ht="14.25" customHeight="1">
      <c r="A30" s="6">
        <v>20</v>
      </c>
      <c r="B30" s="3" t="s">
        <v>114</v>
      </c>
      <c r="C30" s="3" t="s">
        <v>117</v>
      </c>
      <c r="D30" s="3" t="s">
        <v>46</v>
      </c>
      <c r="E30" s="6" t="s">
        <v>74</v>
      </c>
      <c r="F30" s="7" t="s">
        <v>18</v>
      </c>
      <c r="G30" s="8" t="s">
        <v>118</v>
      </c>
      <c r="H30" s="9" t="s">
        <v>18</v>
      </c>
      <c r="I30" s="9" t="s">
        <v>18</v>
      </c>
      <c r="J30" s="6" t="str">
        <f t="shared" si="0"/>
        <v>Incomplete</v>
      </c>
    </row>
    <row r="31" spans="1:10" ht="14.25" customHeight="1">
      <c r="A31" s="6">
        <v>21</v>
      </c>
      <c r="B31" s="3" t="s">
        <v>114</v>
      </c>
      <c r="C31" s="3" t="s">
        <v>119</v>
      </c>
      <c r="D31" s="3" t="s">
        <v>31</v>
      </c>
      <c r="E31" s="6" t="s">
        <v>74</v>
      </c>
      <c r="F31" s="7" t="s">
        <v>18</v>
      </c>
      <c r="G31" s="8" t="s">
        <v>120</v>
      </c>
      <c r="H31" s="9" t="s">
        <v>18</v>
      </c>
      <c r="I31" s="9" t="s">
        <v>18</v>
      </c>
      <c r="J31" s="6" t="str">
        <f t="shared" si="0"/>
        <v>Complete</v>
      </c>
    </row>
    <row r="32" spans="1:10" ht="14.25" customHeight="1">
      <c r="A32" s="6">
        <v>22</v>
      </c>
      <c r="B32" s="3" t="s">
        <v>114</v>
      </c>
      <c r="C32" s="3" t="s">
        <v>121</v>
      </c>
      <c r="D32" s="3" t="s">
        <v>31</v>
      </c>
      <c r="E32" s="6" t="s">
        <v>74</v>
      </c>
      <c r="F32" s="7" t="s">
        <v>18</v>
      </c>
      <c r="G32" s="8" t="s">
        <v>122</v>
      </c>
      <c r="H32" s="9" t="s">
        <v>18</v>
      </c>
      <c r="I32" s="9" t="s">
        <v>18</v>
      </c>
      <c r="J32" s="6" t="str">
        <f t="shared" si="0"/>
        <v>Complete</v>
      </c>
    </row>
    <row r="33" spans="1:10" ht="14.25" customHeight="1">
      <c r="A33" s="6">
        <v>23</v>
      </c>
      <c r="B33" s="3" t="s">
        <v>123</v>
      </c>
      <c r="C33" s="3" t="s">
        <v>124</v>
      </c>
      <c r="D33" s="3" t="s">
        <v>31</v>
      </c>
      <c r="E33" s="6" t="s">
        <v>74</v>
      </c>
      <c r="F33" s="7" t="s">
        <v>18</v>
      </c>
      <c r="G33" s="8" t="s">
        <v>125</v>
      </c>
      <c r="H33" s="9" t="s">
        <v>18</v>
      </c>
      <c r="I33" s="9" t="s">
        <v>18</v>
      </c>
      <c r="J33" s="6" t="str">
        <f t="shared" si="0"/>
        <v>Complete</v>
      </c>
    </row>
    <row r="34" spans="1:10" ht="14.25" customHeight="1">
      <c r="A34" s="6">
        <v>24</v>
      </c>
      <c r="B34" s="3" t="s">
        <v>123</v>
      </c>
      <c r="C34" s="3" t="s">
        <v>126</v>
      </c>
      <c r="D34" s="3" t="s">
        <v>31</v>
      </c>
      <c r="E34" s="6" t="s">
        <v>74</v>
      </c>
      <c r="F34" s="7" t="s">
        <v>18</v>
      </c>
      <c r="G34" s="8" t="s">
        <v>127</v>
      </c>
      <c r="H34" s="9" t="s">
        <v>18</v>
      </c>
      <c r="I34" s="9" t="s">
        <v>18</v>
      </c>
      <c r="J34" s="6" t="str">
        <f t="shared" si="0"/>
        <v>Complete</v>
      </c>
    </row>
    <row r="35" spans="1:10" ht="14.25" customHeight="1">
      <c r="A35" s="6">
        <v>25</v>
      </c>
      <c r="B35" s="3" t="s">
        <v>123</v>
      </c>
      <c r="C35" s="3" t="s">
        <v>128</v>
      </c>
      <c r="D35" s="3" t="s">
        <v>43</v>
      </c>
      <c r="E35" s="6" t="s">
        <v>74</v>
      </c>
      <c r="F35" s="7" t="s">
        <v>18</v>
      </c>
      <c r="G35" s="8" t="s">
        <v>129</v>
      </c>
      <c r="H35" s="9" t="s">
        <v>18</v>
      </c>
      <c r="I35" s="9" t="s">
        <v>18</v>
      </c>
      <c r="J35" s="6" t="str">
        <f t="shared" si="0"/>
        <v>Incomplete</v>
      </c>
    </row>
    <row r="36" spans="1:10" ht="14.25" customHeight="1">
      <c r="A36" s="6">
        <v>26</v>
      </c>
      <c r="B36" s="3" t="s">
        <v>123</v>
      </c>
      <c r="C36" s="3" t="s">
        <v>130</v>
      </c>
      <c r="D36" s="3" t="s">
        <v>31</v>
      </c>
      <c r="E36" s="6" t="s">
        <v>74</v>
      </c>
      <c r="F36" s="7" t="s">
        <v>18</v>
      </c>
      <c r="G36" s="8" t="s">
        <v>131</v>
      </c>
      <c r="H36" s="9" t="s">
        <v>18</v>
      </c>
      <c r="I36" s="9" t="s">
        <v>18</v>
      </c>
      <c r="J36" s="6" t="str">
        <f t="shared" si="0"/>
        <v>Complete</v>
      </c>
    </row>
    <row r="37" spans="1:10" ht="14.25" customHeight="1">
      <c r="A37" s="6">
        <v>27</v>
      </c>
      <c r="B37" s="3" t="s">
        <v>123</v>
      </c>
      <c r="C37" s="3" t="s">
        <v>132</v>
      </c>
      <c r="D37" s="3" t="s">
        <v>46</v>
      </c>
      <c r="E37" s="6" t="s">
        <v>74</v>
      </c>
      <c r="F37" s="7" t="s">
        <v>18</v>
      </c>
      <c r="G37" s="8" t="s">
        <v>133</v>
      </c>
      <c r="H37" s="9" t="s">
        <v>18</v>
      </c>
      <c r="I37" s="9" t="s">
        <v>18</v>
      </c>
      <c r="J37" s="6" t="str">
        <f t="shared" si="0"/>
        <v>Incomplete</v>
      </c>
    </row>
    <row r="38" spans="1:10" ht="14.25" customHeight="1">
      <c r="A38" s="6">
        <v>28</v>
      </c>
      <c r="B38" s="3" t="s">
        <v>134</v>
      </c>
      <c r="C38" s="3" t="s">
        <v>135</v>
      </c>
      <c r="D38" s="3" t="s">
        <v>31</v>
      </c>
      <c r="E38" s="6" t="s">
        <v>74</v>
      </c>
      <c r="F38" s="7" t="s">
        <v>18</v>
      </c>
      <c r="G38" s="8" t="s">
        <v>136</v>
      </c>
      <c r="H38" s="9" t="s">
        <v>18</v>
      </c>
      <c r="I38" s="9" t="s">
        <v>18</v>
      </c>
      <c r="J38" s="6" t="str">
        <f t="shared" si="0"/>
        <v>Complete</v>
      </c>
    </row>
    <row r="39" spans="1:10" ht="14.25" customHeight="1">
      <c r="A39" s="6">
        <v>29</v>
      </c>
      <c r="B39" s="3" t="s">
        <v>134</v>
      </c>
      <c r="C39" s="3" t="s">
        <v>137</v>
      </c>
      <c r="D39" s="3" t="s">
        <v>46</v>
      </c>
      <c r="E39" s="6" t="s">
        <v>74</v>
      </c>
      <c r="F39" s="7" t="s">
        <v>18</v>
      </c>
      <c r="G39" s="8" t="s">
        <v>138</v>
      </c>
      <c r="H39" s="9" t="s">
        <v>18</v>
      </c>
      <c r="I39" s="9" t="s">
        <v>18</v>
      </c>
      <c r="J39" s="6" t="str">
        <f t="shared" si="0"/>
        <v>Incomplete</v>
      </c>
    </row>
    <row r="40" spans="1:10" ht="14.25" customHeight="1">
      <c r="A40" s="6">
        <v>30</v>
      </c>
      <c r="B40" s="3" t="s">
        <v>134</v>
      </c>
      <c r="C40" s="3" t="s">
        <v>139</v>
      </c>
      <c r="D40" s="3" t="s">
        <v>31</v>
      </c>
      <c r="E40" s="6" t="s">
        <v>74</v>
      </c>
      <c r="F40" s="7" t="s">
        <v>18</v>
      </c>
      <c r="G40" s="8" t="s">
        <v>140</v>
      </c>
      <c r="H40" s="9" t="s">
        <v>18</v>
      </c>
      <c r="I40" s="9" t="s">
        <v>18</v>
      </c>
      <c r="J40" s="6" t="str">
        <f t="shared" si="0"/>
        <v>Complete</v>
      </c>
    </row>
    <row r="41" spans="1:10" ht="14.25" customHeight="1">
      <c r="A41" s="6">
        <v>31</v>
      </c>
      <c r="B41" s="3" t="s">
        <v>134</v>
      </c>
      <c r="C41" s="3" t="s">
        <v>141</v>
      </c>
      <c r="D41" s="3" t="s">
        <v>31</v>
      </c>
      <c r="E41" s="6" t="s">
        <v>74</v>
      </c>
      <c r="F41" s="7" t="s">
        <v>18</v>
      </c>
      <c r="G41" s="9" t="s">
        <v>18</v>
      </c>
      <c r="H41" s="9" t="s">
        <v>18</v>
      </c>
      <c r="I41" s="9" t="s">
        <v>18</v>
      </c>
      <c r="J41" s="6" t="str">
        <f t="shared" si="0"/>
        <v>Incomplete</v>
      </c>
    </row>
    <row r="42" spans="1:10" ht="14.25" customHeight="1">
      <c r="A42" s="6">
        <v>32</v>
      </c>
      <c r="B42" s="3" t="s">
        <v>142</v>
      </c>
      <c r="C42" s="3" t="s">
        <v>143</v>
      </c>
      <c r="D42" s="3" t="s">
        <v>54</v>
      </c>
      <c r="E42" s="6" t="s">
        <v>74</v>
      </c>
      <c r="F42" s="7" t="s">
        <v>18</v>
      </c>
      <c r="G42" s="8" t="s">
        <v>144</v>
      </c>
      <c r="H42" s="9" t="s">
        <v>18</v>
      </c>
      <c r="I42" s="9" t="s">
        <v>18</v>
      </c>
      <c r="J42" s="6" t="str">
        <f t="shared" si="0"/>
        <v>Incomplete</v>
      </c>
    </row>
    <row r="43" spans="1:10" ht="14.25" customHeight="1">
      <c r="A43" s="6">
        <v>33</v>
      </c>
      <c r="B43" s="3" t="s">
        <v>142</v>
      </c>
      <c r="C43" s="3" t="s">
        <v>145</v>
      </c>
      <c r="D43" s="3" t="s">
        <v>31</v>
      </c>
      <c r="E43" s="6" t="s">
        <v>74</v>
      </c>
      <c r="F43" s="7" t="s">
        <v>18</v>
      </c>
      <c r="G43" s="8" t="s">
        <v>146</v>
      </c>
      <c r="H43" s="9" t="s">
        <v>18</v>
      </c>
      <c r="I43" s="9" t="s">
        <v>18</v>
      </c>
      <c r="J43" s="6" t="str">
        <f t="shared" si="0"/>
        <v>Complete</v>
      </c>
    </row>
    <row r="44" spans="1:10" ht="14.25" customHeight="1">
      <c r="A44" s="6">
        <v>34</v>
      </c>
      <c r="B44" s="3" t="s">
        <v>142</v>
      </c>
      <c r="C44" s="3" t="s">
        <v>147</v>
      </c>
      <c r="D44" s="3" t="s">
        <v>31</v>
      </c>
      <c r="E44" s="6" t="s">
        <v>74</v>
      </c>
      <c r="F44" s="7" t="s">
        <v>18</v>
      </c>
      <c r="G44" s="8" t="s">
        <v>148</v>
      </c>
      <c r="H44" s="9" t="s">
        <v>18</v>
      </c>
      <c r="I44" s="9" t="s">
        <v>18</v>
      </c>
      <c r="J44" s="6" t="str">
        <f t="shared" si="0"/>
        <v>Complete</v>
      </c>
    </row>
    <row r="45" spans="1:10" ht="14.25" customHeight="1">
      <c r="A45" s="6">
        <v>35</v>
      </c>
      <c r="B45" s="3" t="s">
        <v>149</v>
      </c>
      <c r="C45" s="3" t="s">
        <v>150</v>
      </c>
      <c r="D45" s="3" t="s">
        <v>31</v>
      </c>
      <c r="E45" s="6" t="s">
        <v>74</v>
      </c>
      <c r="F45" s="7" t="s">
        <v>18</v>
      </c>
      <c r="G45" s="8" t="s">
        <v>151</v>
      </c>
      <c r="H45" s="9" t="s">
        <v>18</v>
      </c>
      <c r="I45" s="9" t="s">
        <v>18</v>
      </c>
      <c r="J45" s="6" t="str">
        <f t="shared" si="0"/>
        <v>Complete</v>
      </c>
    </row>
    <row r="46" spans="1:10" ht="14.25" customHeight="1">
      <c r="A46" s="6">
        <v>36</v>
      </c>
      <c r="B46" s="3" t="s">
        <v>149</v>
      </c>
      <c r="C46" s="3" t="s">
        <v>152</v>
      </c>
      <c r="D46" s="3" t="s">
        <v>31</v>
      </c>
      <c r="E46" s="6" t="s">
        <v>74</v>
      </c>
      <c r="F46" s="7" t="s">
        <v>18</v>
      </c>
      <c r="G46" s="8" t="s">
        <v>153</v>
      </c>
      <c r="H46" s="9" t="s">
        <v>18</v>
      </c>
      <c r="I46" s="9" t="s">
        <v>18</v>
      </c>
      <c r="J46" s="6" t="str">
        <f t="shared" si="0"/>
        <v>Complete</v>
      </c>
    </row>
    <row r="47" spans="1:10" ht="14.25" customHeight="1">
      <c r="A47" s="6">
        <v>37</v>
      </c>
      <c r="B47" s="3" t="s">
        <v>149</v>
      </c>
      <c r="C47" s="3" t="s">
        <v>154</v>
      </c>
      <c r="D47" s="3" t="s">
        <v>46</v>
      </c>
      <c r="E47" s="6" t="s">
        <v>74</v>
      </c>
      <c r="F47" s="7" t="s">
        <v>18</v>
      </c>
      <c r="G47" s="8" t="s">
        <v>155</v>
      </c>
      <c r="H47" s="9" t="s">
        <v>18</v>
      </c>
      <c r="I47" s="9" t="s">
        <v>18</v>
      </c>
      <c r="J47" s="6" t="str">
        <f t="shared" si="0"/>
        <v>Incomplete</v>
      </c>
    </row>
    <row r="48" spans="1:10" ht="14.25" customHeight="1">
      <c r="A48" s="6">
        <v>38</v>
      </c>
      <c r="B48" s="3" t="s">
        <v>156</v>
      </c>
      <c r="C48" s="3" t="s">
        <v>157</v>
      </c>
      <c r="D48" s="3" t="s">
        <v>49</v>
      </c>
      <c r="E48" s="6" t="s">
        <v>74</v>
      </c>
      <c r="F48" s="7" t="s">
        <v>18</v>
      </c>
      <c r="G48" s="8" t="s">
        <v>158</v>
      </c>
      <c r="H48" s="9" t="s">
        <v>18</v>
      </c>
      <c r="I48" s="9" t="s">
        <v>18</v>
      </c>
      <c r="J48" s="6" t="str">
        <f t="shared" si="0"/>
        <v>Incomplete</v>
      </c>
    </row>
    <row r="49" spans="1:10" ht="14.25" customHeight="1">
      <c r="A49" s="6">
        <v>39</v>
      </c>
      <c r="B49" s="3" t="s">
        <v>156</v>
      </c>
      <c r="C49" s="3" t="s">
        <v>159</v>
      </c>
      <c r="D49" s="3" t="s">
        <v>46</v>
      </c>
      <c r="E49" s="6" t="s">
        <v>74</v>
      </c>
      <c r="F49" s="7" t="s">
        <v>18</v>
      </c>
      <c r="G49" s="8" t="s">
        <v>160</v>
      </c>
      <c r="H49" s="9" t="s">
        <v>18</v>
      </c>
      <c r="I49" s="9" t="s">
        <v>18</v>
      </c>
      <c r="J49" s="6" t="str">
        <f t="shared" si="0"/>
        <v>Incomplete</v>
      </c>
    </row>
    <row r="50" spans="1:10" ht="14.25" customHeight="1">
      <c r="A50" s="6">
        <v>40</v>
      </c>
      <c r="B50" s="3" t="s">
        <v>156</v>
      </c>
      <c r="C50" s="3" t="s">
        <v>161</v>
      </c>
      <c r="D50" s="3" t="s">
        <v>31</v>
      </c>
      <c r="E50" s="6" t="s">
        <v>74</v>
      </c>
      <c r="F50" s="7" t="s">
        <v>18</v>
      </c>
      <c r="G50" s="8" t="s">
        <v>162</v>
      </c>
      <c r="H50" s="9" t="s">
        <v>18</v>
      </c>
      <c r="I50" s="9" t="s">
        <v>18</v>
      </c>
      <c r="J50" s="6" t="str">
        <f t="shared" si="0"/>
        <v>Complete</v>
      </c>
    </row>
    <row r="51" spans="1:10" ht="14.25" customHeight="1">
      <c r="A51" s="6">
        <v>41</v>
      </c>
      <c r="B51" s="3" t="s">
        <v>156</v>
      </c>
      <c r="C51" s="3" t="s">
        <v>163</v>
      </c>
      <c r="D51" s="3" t="s">
        <v>31</v>
      </c>
      <c r="E51" s="6" t="s">
        <v>74</v>
      </c>
      <c r="F51" s="7" t="s">
        <v>18</v>
      </c>
      <c r="G51" s="8" t="s">
        <v>164</v>
      </c>
      <c r="H51" s="9" t="s">
        <v>18</v>
      </c>
      <c r="I51" s="9" t="s">
        <v>18</v>
      </c>
      <c r="J51" s="6" t="str">
        <f t="shared" si="0"/>
        <v>Complete</v>
      </c>
    </row>
    <row r="52" spans="1:10" ht="14.25" customHeight="1">
      <c r="A52" s="6">
        <v>42</v>
      </c>
      <c r="B52" s="3" t="s">
        <v>165</v>
      </c>
      <c r="C52" s="3" t="s">
        <v>166</v>
      </c>
      <c r="D52" s="3" t="s">
        <v>46</v>
      </c>
      <c r="E52" s="6" t="s">
        <v>74</v>
      </c>
      <c r="F52" s="7" t="s">
        <v>18</v>
      </c>
      <c r="G52" s="8" t="s">
        <v>167</v>
      </c>
      <c r="H52" s="9" t="s">
        <v>18</v>
      </c>
      <c r="I52" s="9" t="s">
        <v>18</v>
      </c>
      <c r="J52" s="6" t="str">
        <f t="shared" si="0"/>
        <v>Incomplete</v>
      </c>
    </row>
    <row r="53" spans="1:10" ht="14.25" customHeight="1">
      <c r="A53" s="6">
        <v>43</v>
      </c>
      <c r="B53" s="3" t="s">
        <v>165</v>
      </c>
      <c r="C53" s="3" t="s">
        <v>168</v>
      </c>
      <c r="D53" s="3" t="s">
        <v>31</v>
      </c>
      <c r="E53" s="6" t="s">
        <v>74</v>
      </c>
      <c r="F53" s="7" t="s">
        <v>18</v>
      </c>
      <c r="G53" s="8" t="s">
        <v>169</v>
      </c>
      <c r="H53" s="9" t="s">
        <v>18</v>
      </c>
      <c r="I53" s="9" t="s">
        <v>18</v>
      </c>
      <c r="J53" s="6" t="str">
        <f t="shared" si="0"/>
        <v>Complete</v>
      </c>
    </row>
    <row r="54" spans="1:10" ht="14.25" customHeight="1">
      <c r="A54" s="6">
        <v>44</v>
      </c>
      <c r="B54" s="3" t="s">
        <v>165</v>
      </c>
      <c r="C54" s="3" t="s">
        <v>170</v>
      </c>
      <c r="D54" s="3" t="s">
        <v>31</v>
      </c>
      <c r="E54" s="6" t="s">
        <v>74</v>
      </c>
      <c r="F54" s="7" t="s">
        <v>18</v>
      </c>
      <c r="G54" s="8" t="s">
        <v>171</v>
      </c>
      <c r="H54" s="9" t="s">
        <v>18</v>
      </c>
      <c r="I54" s="9" t="s">
        <v>18</v>
      </c>
      <c r="J54" s="6" t="str">
        <f t="shared" si="0"/>
        <v>Complete</v>
      </c>
    </row>
    <row r="55" spans="1:10" ht="14.25" customHeight="1">
      <c r="A55" s="6">
        <v>45</v>
      </c>
      <c r="B55" s="3" t="s">
        <v>165</v>
      </c>
      <c r="C55" s="3" t="s">
        <v>172</v>
      </c>
      <c r="D55" s="3" t="s">
        <v>31</v>
      </c>
      <c r="E55" s="6" t="s">
        <v>74</v>
      </c>
      <c r="F55" s="7" t="s">
        <v>18</v>
      </c>
      <c r="G55" s="8" t="s">
        <v>173</v>
      </c>
      <c r="H55" s="9" t="s">
        <v>18</v>
      </c>
      <c r="I55" s="9" t="s">
        <v>18</v>
      </c>
      <c r="J55" s="6" t="str">
        <f t="shared" si="0"/>
        <v>Complete</v>
      </c>
    </row>
    <row r="56" spans="1:10" ht="14.25" customHeight="1">
      <c r="A56" s="6">
        <v>46</v>
      </c>
      <c r="B56" s="3" t="s">
        <v>165</v>
      </c>
      <c r="C56" s="3" t="s">
        <v>174</v>
      </c>
      <c r="D56" s="3" t="s">
        <v>31</v>
      </c>
      <c r="E56" s="6" t="s">
        <v>74</v>
      </c>
      <c r="F56" s="7" t="s">
        <v>18</v>
      </c>
      <c r="G56" s="8" t="s">
        <v>175</v>
      </c>
      <c r="H56" s="9" t="s">
        <v>18</v>
      </c>
      <c r="I56" s="9" t="s">
        <v>18</v>
      </c>
      <c r="J56" s="6" t="str">
        <f t="shared" si="0"/>
        <v>Complete</v>
      </c>
    </row>
    <row r="57" spans="1:10" ht="14.25" customHeight="1">
      <c r="A57" s="6">
        <v>47</v>
      </c>
      <c r="B57" s="3" t="s">
        <v>176</v>
      </c>
      <c r="C57" s="3" t="s">
        <v>177</v>
      </c>
      <c r="D57" s="3" t="s">
        <v>37</v>
      </c>
      <c r="E57" s="6" t="s">
        <v>74</v>
      </c>
      <c r="F57" s="7" t="s">
        <v>18</v>
      </c>
      <c r="G57" s="9" t="s">
        <v>18</v>
      </c>
      <c r="H57" s="9" t="s">
        <v>18</v>
      </c>
      <c r="I57" s="9" t="s">
        <v>18</v>
      </c>
      <c r="J57" s="6" t="str">
        <f t="shared" si="0"/>
        <v>Incomplete</v>
      </c>
    </row>
    <row r="58" spans="1:10" ht="14.25" customHeight="1">
      <c r="A58" s="6">
        <v>48</v>
      </c>
      <c r="B58" s="3" t="s">
        <v>176</v>
      </c>
      <c r="C58" s="3" t="s">
        <v>178</v>
      </c>
      <c r="D58" s="3" t="s">
        <v>31</v>
      </c>
      <c r="E58" s="6" t="s">
        <v>74</v>
      </c>
      <c r="F58" s="7" t="s">
        <v>18</v>
      </c>
      <c r="G58" s="8" t="s">
        <v>179</v>
      </c>
      <c r="H58" s="9" t="s">
        <v>18</v>
      </c>
      <c r="I58" s="9" t="s">
        <v>18</v>
      </c>
      <c r="J58" s="6" t="str">
        <f t="shared" si="0"/>
        <v>Complete</v>
      </c>
    </row>
    <row r="59" spans="1:10" ht="14.25" customHeight="1">
      <c r="A59" s="6">
        <v>49</v>
      </c>
      <c r="B59" s="3" t="s">
        <v>176</v>
      </c>
      <c r="C59" s="3" t="s">
        <v>180</v>
      </c>
      <c r="D59" s="3" t="s">
        <v>46</v>
      </c>
      <c r="E59" s="6" t="s">
        <v>74</v>
      </c>
      <c r="F59" s="7" t="s">
        <v>18</v>
      </c>
      <c r="G59" s="8" t="s">
        <v>181</v>
      </c>
      <c r="H59" s="9" t="s">
        <v>18</v>
      </c>
      <c r="I59" s="9" t="s">
        <v>18</v>
      </c>
      <c r="J59" s="6" t="str">
        <f t="shared" si="0"/>
        <v>Incomplete</v>
      </c>
    </row>
    <row r="60" spans="1:10" ht="14.25" customHeight="1">
      <c r="A60" s="6">
        <v>50</v>
      </c>
      <c r="B60" s="3" t="s">
        <v>182</v>
      </c>
      <c r="C60" s="3" t="s">
        <v>183</v>
      </c>
      <c r="D60" s="3" t="s">
        <v>34</v>
      </c>
      <c r="E60" s="6" t="s">
        <v>74</v>
      </c>
      <c r="F60" s="7" t="s">
        <v>18</v>
      </c>
      <c r="G60" s="8" t="s">
        <v>184</v>
      </c>
      <c r="H60" s="9" t="s">
        <v>18</v>
      </c>
      <c r="I60" s="9" t="s">
        <v>18</v>
      </c>
      <c r="J60" s="6" t="str">
        <f t="shared" si="0"/>
        <v>Complete</v>
      </c>
    </row>
    <row r="61" spans="1:10" ht="14.25" customHeight="1">
      <c r="A61" s="6">
        <v>51</v>
      </c>
      <c r="B61" s="3" t="s">
        <v>182</v>
      </c>
      <c r="C61" s="3" t="s">
        <v>185</v>
      </c>
      <c r="D61" s="3" t="s">
        <v>31</v>
      </c>
      <c r="E61" s="6" t="s">
        <v>74</v>
      </c>
      <c r="F61" s="7" t="s">
        <v>18</v>
      </c>
      <c r="G61" s="8" t="s">
        <v>186</v>
      </c>
      <c r="H61" s="9" t="s">
        <v>18</v>
      </c>
      <c r="I61" s="9" t="s">
        <v>18</v>
      </c>
      <c r="J61" s="6" t="str">
        <f t="shared" si="0"/>
        <v>Complete</v>
      </c>
    </row>
    <row r="62" spans="1:10" ht="14.25" customHeight="1">
      <c r="A62" s="6">
        <v>52</v>
      </c>
      <c r="B62" s="3" t="s">
        <v>182</v>
      </c>
      <c r="C62" s="3" t="s">
        <v>187</v>
      </c>
      <c r="D62" s="3" t="s">
        <v>31</v>
      </c>
      <c r="E62" s="6" t="s">
        <v>74</v>
      </c>
      <c r="F62" s="7" t="s">
        <v>18</v>
      </c>
      <c r="G62" s="8" t="s">
        <v>188</v>
      </c>
      <c r="H62" s="9" t="s">
        <v>18</v>
      </c>
      <c r="I62" s="9" t="s">
        <v>18</v>
      </c>
      <c r="J62" s="6" t="str">
        <f t="shared" si="0"/>
        <v>Complete</v>
      </c>
    </row>
    <row r="63" spans="1:10" ht="14.25" customHeight="1">
      <c r="A63" s="6">
        <v>53</v>
      </c>
      <c r="B63" s="3" t="s">
        <v>182</v>
      </c>
      <c r="C63" s="3" t="s">
        <v>189</v>
      </c>
      <c r="D63" s="3" t="s">
        <v>34</v>
      </c>
      <c r="E63" s="6" t="s">
        <v>74</v>
      </c>
      <c r="F63" s="7" t="s">
        <v>18</v>
      </c>
      <c r="G63" s="8" t="s">
        <v>190</v>
      </c>
      <c r="H63" s="9" t="s">
        <v>18</v>
      </c>
      <c r="I63" s="9" t="s">
        <v>18</v>
      </c>
      <c r="J63" s="6" t="str">
        <f t="shared" si="0"/>
        <v>Complete</v>
      </c>
    </row>
    <row r="64" spans="1:10" ht="14.25" customHeight="1">
      <c r="A64" s="6">
        <v>54</v>
      </c>
      <c r="B64" s="3" t="s">
        <v>191</v>
      </c>
      <c r="C64" s="3" t="s">
        <v>192</v>
      </c>
      <c r="D64" s="3" t="s">
        <v>31</v>
      </c>
      <c r="E64" s="6" t="s">
        <v>74</v>
      </c>
      <c r="F64" s="7" t="s">
        <v>18</v>
      </c>
      <c r="G64" s="8" t="s">
        <v>193</v>
      </c>
      <c r="H64" s="9" t="s">
        <v>18</v>
      </c>
      <c r="I64" s="9" t="s">
        <v>18</v>
      </c>
      <c r="J64" s="6" t="str">
        <f t="shared" si="0"/>
        <v>Complete</v>
      </c>
    </row>
    <row r="65" spans="1:10" ht="14.25" customHeight="1">
      <c r="A65" s="6">
        <v>55</v>
      </c>
      <c r="B65" s="3" t="s">
        <v>191</v>
      </c>
      <c r="C65" s="3" t="s">
        <v>194</v>
      </c>
      <c r="D65" s="3" t="s">
        <v>31</v>
      </c>
      <c r="E65" s="6" t="s">
        <v>74</v>
      </c>
      <c r="F65" s="7" t="s">
        <v>18</v>
      </c>
      <c r="G65" s="8" t="s">
        <v>195</v>
      </c>
      <c r="H65" s="9" t="s">
        <v>18</v>
      </c>
      <c r="I65" s="9" t="s">
        <v>18</v>
      </c>
      <c r="J65" s="6" t="str">
        <f t="shared" si="0"/>
        <v>Complete</v>
      </c>
    </row>
    <row r="66" spans="1:10" ht="14.25" customHeight="1">
      <c r="A66" s="6">
        <v>56</v>
      </c>
      <c r="B66" s="3" t="s">
        <v>191</v>
      </c>
      <c r="C66" s="3" t="s">
        <v>196</v>
      </c>
      <c r="D66" s="3" t="s">
        <v>34</v>
      </c>
      <c r="E66" s="6" t="s">
        <v>74</v>
      </c>
      <c r="F66" s="7" t="s">
        <v>18</v>
      </c>
      <c r="G66" s="8" t="s">
        <v>197</v>
      </c>
      <c r="H66" s="9" t="s">
        <v>18</v>
      </c>
      <c r="I66" s="9" t="s">
        <v>18</v>
      </c>
      <c r="J66" s="6" t="str">
        <f t="shared" si="0"/>
        <v>Complete</v>
      </c>
    </row>
    <row r="67" spans="1:10" ht="14.25" customHeight="1">
      <c r="A67" s="6">
        <v>57</v>
      </c>
      <c r="B67" s="3" t="s">
        <v>191</v>
      </c>
      <c r="C67" s="3" t="s">
        <v>198</v>
      </c>
      <c r="D67" s="3" t="s">
        <v>31</v>
      </c>
      <c r="E67" s="6" t="s">
        <v>74</v>
      </c>
      <c r="F67" s="7" t="s">
        <v>18</v>
      </c>
      <c r="G67" s="8" t="s">
        <v>199</v>
      </c>
      <c r="H67" s="9" t="s">
        <v>18</v>
      </c>
      <c r="I67" s="9" t="s">
        <v>18</v>
      </c>
      <c r="J67" s="6" t="str">
        <f t="shared" si="0"/>
        <v>Complete</v>
      </c>
    </row>
    <row r="68" spans="1:10" ht="14.25" customHeight="1">
      <c r="A68" s="6">
        <v>58</v>
      </c>
      <c r="B68" s="3" t="s">
        <v>200</v>
      </c>
      <c r="C68" s="3" t="s">
        <v>201</v>
      </c>
      <c r="D68" s="3" t="s">
        <v>34</v>
      </c>
      <c r="E68" s="6" t="s">
        <v>74</v>
      </c>
      <c r="F68" s="7" t="s">
        <v>18</v>
      </c>
      <c r="G68" s="8" t="s">
        <v>202</v>
      </c>
      <c r="H68" s="9" t="s">
        <v>18</v>
      </c>
      <c r="I68" s="9" t="s">
        <v>18</v>
      </c>
      <c r="J68" s="6" t="str">
        <f t="shared" si="0"/>
        <v>Complete</v>
      </c>
    </row>
    <row r="69" spans="1:10" ht="14.25" customHeight="1">
      <c r="A69" s="6">
        <v>59</v>
      </c>
      <c r="B69" s="3" t="s">
        <v>200</v>
      </c>
      <c r="C69" s="3" t="s">
        <v>203</v>
      </c>
      <c r="D69" s="3" t="s">
        <v>31</v>
      </c>
      <c r="E69" s="6" t="s">
        <v>74</v>
      </c>
      <c r="F69" s="7" t="s">
        <v>18</v>
      </c>
      <c r="G69" s="8" t="s">
        <v>204</v>
      </c>
      <c r="H69" s="9" t="s">
        <v>18</v>
      </c>
      <c r="I69" s="9" t="s">
        <v>18</v>
      </c>
      <c r="J69" s="6" t="str">
        <f t="shared" si="0"/>
        <v>Complete</v>
      </c>
    </row>
    <row r="70" spans="1:10" ht="14.25" customHeight="1">
      <c r="A70" s="6">
        <v>60</v>
      </c>
      <c r="B70" s="3" t="s">
        <v>200</v>
      </c>
      <c r="C70" s="3" t="s">
        <v>205</v>
      </c>
      <c r="D70" s="3" t="s">
        <v>51</v>
      </c>
      <c r="E70" s="6" t="s">
        <v>74</v>
      </c>
      <c r="F70" s="7" t="s">
        <v>18</v>
      </c>
      <c r="G70" s="8" t="s">
        <v>206</v>
      </c>
      <c r="H70" s="9" t="s">
        <v>18</v>
      </c>
      <c r="I70" s="9" t="s">
        <v>18</v>
      </c>
      <c r="J70" s="6" t="str">
        <f t="shared" si="0"/>
        <v>Incomplete</v>
      </c>
    </row>
    <row r="71" spans="1:10" ht="14.25" customHeight="1">
      <c r="A71" s="6">
        <v>61</v>
      </c>
      <c r="B71" s="3" t="s">
        <v>200</v>
      </c>
      <c r="C71" s="3" t="s">
        <v>207</v>
      </c>
      <c r="D71" s="3" t="s">
        <v>31</v>
      </c>
      <c r="E71" s="6" t="s">
        <v>74</v>
      </c>
      <c r="F71" s="7" t="s">
        <v>18</v>
      </c>
      <c r="G71" s="8" t="s">
        <v>208</v>
      </c>
      <c r="H71" s="9" t="s">
        <v>18</v>
      </c>
      <c r="I71" s="9" t="s">
        <v>18</v>
      </c>
      <c r="J71" s="6" t="str">
        <f t="shared" si="0"/>
        <v>Complete</v>
      </c>
    </row>
    <row r="72" spans="1:10" ht="14.25" customHeight="1">
      <c r="A72" s="6">
        <v>62</v>
      </c>
      <c r="B72" s="3" t="s">
        <v>200</v>
      </c>
      <c r="C72" s="3" t="s">
        <v>209</v>
      </c>
      <c r="D72" s="3" t="s">
        <v>31</v>
      </c>
      <c r="E72" s="6" t="s">
        <v>74</v>
      </c>
      <c r="F72" s="7" t="s">
        <v>18</v>
      </c>
      <c r="G72" s="8" t="s">
        <v>210</v>
      </c>
      <c r="H72" s="9" t="s">
        <v>18</v>
      </c>
      <c r="I72" s="9" t="s">
        <v>18</v>
      </c>
      <c r="J72" s="6" t="str">
        <f t="shared" si="0"/>
        <v>Complete</v>
      </c>
    </row>
    <row r="73" spans="1:10" ht="14.25" customHeight="1">
      <c r="A73" s="6">
        <v>63</v>
      </c>
      <c r="B73" s="3" t="s">
        <v>211</v>
      </c>
      <c r="C73" s="3" t="s">
        <v>212</v>
      </c>
      <c r="D73" s="3" t="s">
        <v>34</v>
      </c>
      <c r="E73" s="6" t="s">
        <v>74</v>
      </c>
      <c r="F73" s="7" t="s">
        <v>18</v>
      </c>
      <c r="G73" s="8" t="s">
        <v>213</v>
      </c>
      <c r="H73" s="9" t="s">
        <v>18</v>
      </c>
      <c r="I73" s="9" t="s">
        <v>18</v>
      </c>
      <c r="J73" s="6" t="str">
        <f t="shared" si="0"/>
        <v>Complete</v>
      </c>
    </row>
    <row r="74" spans="1:10" ht="14.25" customHeight="1">
      <c r="A74" s="6">
        <v>64</v>
      </c>
      <c r="B74" s="3" t="s">
        <v>211</v>
      </c>
      <c r="C74" s="3" t="s">
        <v>214</v>
      </c>
      <c r="D74" s="3" t="s">
        <v>31</v>
      </c>
      <c r="E74" s="6" t="s">
        <v>74</v>
      </c>
      <c r="F74" s="7" t="s">
        <v>18</v>
      </c>
      <c r="G74" s="8" t="s">
        <v>215</v>
      </c>
      <c r="H74" s="9" t="s">
        <v>18</v>
      </c>
      <c r="I74" s="9" t="s">
        <v>18</v>
      </c>
      <c r="J74" s="6" t="str">
        <f t="shared" si="0"/>
        <v>Complete</v>
      </c>
    </row>
    <row r="75" spans="1:10" ht="14.25" customHeight="1">
      <c r="A75" s="6">
        <v>65</v>
      </c>
      <c r="B75" s="3" t="s">
        <v>211</v>
      </c>
      <c r="C75" s="3" t="s">
        <v>216</v>
      </c>
      <c r="D75" s="3" t="s">
        <v>31</v>
      </c>
      <c r="E75" s="6" t="s">
        <v>74</v>
      </c>
      <c r="F75" s="7" t="s">
        <v>18</v>
      </c>
      <c r="G75" s="8" t="s">
        <v>217</v>
      </c>
      <c r="H75" s="9" t="s">
        <v>18</v>
      </c>
      <c r="I75" s="9" t="s">
        <v>18</v>
      </c>
      <c r="J75" s="6" t="str">
        <f t="shared" si="0"/>
        <v>Complete</v>
      </c>
    </row>
    <row r="76" spans="1:10" ht="14.25" customHeight="1">
      <c r="A76" s="6">
        <v>66</v>
      </c>
      <c r="B76" s="3" t="s">
        <v>211</v>
      </c>
      <c r="C76" s="3" t="s">
        <v>218</v>
      </c>
      <c r="D76" s="3" t="s">
        <v>31</v>
      </c>
      <c r="E76" s="6" t="s">
        <v>74</v>
      </c>
      <c r="F76" s="7" t="s">
        <v>18</v>
      </c>
      <c r="G76" s="8" t="s">
        <v>219</v>
      </c>
      <c r="H76" s="9" t="s">
        <v>18</v>
      </c>
      <c r="I76" s="9" t="s">
        <v>18</v>
      </c>
      <c r="J76" s="6" t="str">
        <f t="shared" si="0"/>
        <v>Complete</v>
      </c>
    </row>
    <row r="77" spans="1:10" ht="14.25" customHeight="1">
      <c r="A77" s="6">
        <v>67</v>
      </c>
      <c r="B77" s="3" t="s">
        <v>211</v>
      </c>
      <c r="C77" s="3" t="s">
        <v>220</v>
      </c>
      <c r="D77" s="3" t="s">
        <v>40</v>
      </c>
      <c r="E77" s="6" t="s">
        <v>74</v>
      </c>
      <c r="F77" s="7" t="s">
        <v>18</v>
      </c>
      <c r="G77" s="8" t="s">
        <v>221</v>
      </c>
      <c r="H77" s="9" t="s">
        <v>18</v>
      </c>
      <c r="I77" s="9" t="s">
        <v>18</v>
      </c>
      <c r="J77" s="6" t="str">
        <f t="shared" si="0"/>
        <v>Incomplete</v>
      </c>
    </row>
    <row r="78" spans="1:10" ht="14.25" customHeight="1">
      <c r="A78" s="6">
        <v>68</v>
      </c>
      <c r="B78" s="3" t="s">
        <v>211</v>
      </c>
      <c r="C78" s="3" t="s">
        <v>222</v>
      </c>
      <c r="D78" s="3" t="s">
        <v>31</v>
      </c>
      <c r="E78" s="6" t="s">
        <v>74</v>
      </c>
      <c r="F78" s="7" t="s">
        <v>18</v>
      </c>
      <c r="G78" s="8" t="s">
        <v>223</v>
      </c>
      <c r="H78" s="9" t="s">
        <v>18</v>
      </c>
      <c r="I78" s="9" t="s">
        <v>18</v>
      </c>
      <c r="J78" s="6" t="str">
        <f t="shared" si="0"/>
        <v>Complete</v>
      </c>
    </row>
    <row r="79" spans="1:10" ht="14.25" customHeight="1">
      <c r="A79" s="6">
        <v>69</v>
      </c>
      <c r="B79" s="3" t="s">
        <v>224</v>
      </c>
      <c r="C79" s="3" t="s">
        <v>225</v>
      </c>
      <c r="D79" s="3" t="s">
        <v>40</v>
      </c>
      <c r="E79" s="6" t="s">
        <v>74</v>
      </c>
      <c r="F79" s="7" t="s">
        <v>18</v>
      </c>
      <c r="G79" s="8" t="s">
        <v>226</v>
      </c>
      <c r="H79" s="9" t="s">
        <v>18</v>
      </c>
      <c r="I79" s="9" t="s">
        <v>18</v>
      </c>
      <c r="J79" s="6" t="str">
        <f t="shared" si="0"/>
        <v>Incomplete</v>
      </c>
    </row>
    <row r="80" spans="1:10" ht="14.25" customHeight="1">
      <c r="A80" s="6">
        <v>70</v>
      </c>
      <c r="B80" s="3" t="s">
        <v>224</v>
      </c>
      <c r="C80" s="3" t="s">
        <v>227</v>
      </c>
      <c r="D80" s="3" t="s">
        <v>31</v>
      </c>
      <c r="E80" s="6" t="s">
        <v>74</v>
      </c>
      <c r="F80" s="7" t="s">
        <v>18</v>
      </c>
      <c r="G80" s="8" t="s">
        <v>228</v>
      </c>
      <c r="H80" s="9" t="s">
        <v>18</v>
      </c>
      <c r="I80" s="9" t="s">
        <v>18</v>
      </c>
      <c r="J80" s="6" t="str">
        <f t="shared" si="0"/>
        <v>Complete</v>
      </c>
    </row>
    <row r="81" spans="1:10" ht="14.25" customHeight="1">
      <c r="A81" s="6">
        <v>71</v>
      </c>
      <c r="B81" s="3" t="s">
        <v>224</v>
      </c>
      <c r="C81" s="3" t="s">
        <v>229</v>
      </c>
      <c r="D81" s="3" t="s">
        <v>31</v>
      </c>
      <c r="E81" s="6" t="s">
        <v>74</v>
      </c>
      <c r="F81" s="7" t="s">
        <v>18</v>
      </c>
      <c r="G81" s="8" t="s">
        <v>230</v>
      </c>
      <c r="H81" s="9" t="s">
        <v>18</v>
      </c>
      <c r="I81" s="9" t="s">
        <v>18</v>
      </c>
      <c r="J81" s="6" t="str">
        <f t="shared" si="0"/>
        <v>Complete</v>
      </c>
    </row>
    <row r="82" spans="1:10" ht="14.25" customHeight="1">
      <c r="A82" s="6">
        <v>72</v>
      </c>
      <c r="B82" s="3" t="s">
        <v>224</v>
      </c>
      <c r="C82" s="3" t="s">
        <v>231</v>
      </c>
      <c r="D82" s="3" t="s">
        <v>46</v>
      </c>
      <c r="E82" s="6" t="s">
        <v>74</v>
      </c>
      <c r="F82" s="7" t="s">
        <v>18</v>
      </c>
      <c r="G82" s="8" t="s">
        <v>232</v>
      </c>
      <c r="H82" s="9" t="s">
        <v>18</v>
      </c>
      <c r="I82" s="9" t="s">
        <v>18</v>
      </c>
      <c r="J82" s="6" t="str">
        <f t="shared" si="0"/>
        <v>Incomplete</v>
      </c>
    </row>
    <row r="83" spans="1:10" ht="14.25" customHeight="1">
      <c r="A83" s="6">
        <v>73</v>
      </c>
      <c r="B83" s="3" t="s">
        <v>224</v>
      </c>
      <c r="C83" s="3" t="s">
        <v>233</v>
      </c>
      <c r="D83" s="3" t="s">
        <v>31</v>
      </c>
      <c r="E83" s="6" t="s">
        <v>74</v>
      </c>
      <c r="F83" s="7" t="s">
        <v>18</v>
      </c>
      <c r="G83" s="8" t="s">
        <v>234</v>
      </c>
      <c r="H83" s="9" t="s">
        <v>18</v>
      </c>
      <c r="I83" s="9" t="s">
        <v>18</v>
      </c>
      <c r="J83" s="6" t="str">
        <f t="shared" si="0"/>
        <v>Complete</v>
      </c>
    </row>
    <row r="84" spans="1:10" ht="14.25" customHeight="1">
      <c r="A84" s="6">
        <v>74</v>
      </c>
      <c r="B84" s="3" t="s">
        <v>224</v>
      </c>
      <c r="C84" s="3" t="s">
        <v>235</v>
      </c>
      <c r="D84" s="3" t="s">
        <v>31</v>
      </c>
      <c r="E84" s="6" t="s">
        <v>74</v>
      </c>
      <c r="F84" s="7" t="s">
        <v>18</v>
      </c>
      <c r="G84" s="8" t="s">
        <v>236</v>
      </c>
      <c r="H84" s="9" t="s">
        <v>18</v>
      </c>
      <c r="I84" s="9" t="s">
        <v>18</v>
      </c>
      <c r="J84" s="6" t="str">
        <f t="shared" si="0"/>
        <v>Complete</v>
      </c>
    </row>
    <row r="85" spans="1:10" ht="14.25" customHeight="1">
      <c r="A85" s="6">
        <v>75</v>
      </c>
      <c r="B85" s="3" t="s">
        <v>224</v>
      </c>
      <c r="C85" s="3" t="s">
        <v>237</v>
      </c>
      <c r="D85" s="3" t="s">
        <v>40</v>
      </c>
      <c r="E85" s="6" t="s">
        <v>74</v>
      </c>
      <c r="F85" s="7" t="s">
        <v>18</v>
      </c>
      <c r="G85" s="8" t="s">
        <v>238</v>
      </c>
      <c r="H85" s="9" t="s">
        <v>18</v>
      </c>
      <c r="I85" s="9" t="s">
        <v>18</v>
      </c>
      <c r="J85" s="6" t="str">
        <f t="shared" si="0"/>
        <v>Incomplete</v>
      </c>
    </row>
    <row r="86" spans="1:10" ht="14.25" customHeight="1">
      <c r="A86" s="6">
        <v>76</v>
      </c>
      <c r="B86" s="3" t="s">
        <v>224</v>
      </c>
      <c r="C86" s="3" t="s">
        <v>239</v>
      </c>
      <c r="D86" s="3" t="s">
        <v>40</v>
      </c>
      <c r="E86" s="6" t="s">
        <v>74</v>
      </c>
      <c r="F86" s="7" t="s">
        <v>18</v>
      </c>
      <c r="G86" s="8" t="s">
        <v>240</v>
      </c>
      <c r="H86" s="9" t="s">
        <v>18</v>
      </c>
      <c r="I86" s="9" t="s">
        <v>18</v>
      </c>
      <c r="J86" s="6" t="str">
        <f t="shared" si="0"/>
        <v>Incomplete</v>
      </c>
    </row>
    <row r="87" spans="1:10" ht="14.25" customHeight="1">
      <c r="A87" s="6">
        <v>77</v>
      </c>
      <c r="B87" s="3" t="s">
        <v>224</v>
      </c>
      <c r="C87" s="3" t="s">
        <v>241</v>
      </c>
      <c r="D87" s="3" t="s">
        <v>51</v>
      </c>
      <c r="E87" s="6" t="s">
        <v>74</v>
      </c>
      <c r="F87" s="7" t="s">
        <v>18</v>
      </c>
      <c r="G87" s="8" t="s">
        <v>242</v>
      </c>
      <c r="H87" s="9" t="s">
        <v>18</v>
      </c>
      <c r="I87" s="9" t="s">
        <v>18</v>
      </c>
      <c r="J87" s="6" t="str">
        <f t="shared" si="0"/>
        <v>Incomplete</v>
      </c>
    </row>
    <row r="88" spans="1:10" ht="14.25" customHeight="1">
      <c r="A88" s="6">
        <v>78</v>
      </c>
      <c r="B88" s="3" t="s">
        <v>224</v>
      </c>
      <c r="C88" s="3" t="s">
        <v>243</v>
      </c>
      <c r="D88" s="3" t="s">
        <v>31</v>
      </c>
      <c r="E88" s="6" t="s">
        <v>74</v>
      </c>
      <c r="F88" s="7" t="s">
        <v>18</v>
      </c>
      <c r="G88" s="8" t="s">
        <v>244</v>
      </c>
      <c r="H88" s="9" t="s">
        <v>18</v>
      </c>
      <c r="I88" s="9" t="s">
        <v>18</v>
      </c>
      <c r="J88" s="6" t="str">
        <f t="shared" si="0"/>
        <v>Complete</v>
      </c>
    </row>
    <row r="89" spans="1:10" ht="14.25" customHeight="1">
      <c r="A89" s="6">
        <v>79</v>
      </c>
      <c r="B89" s="3" t="s">
        <v>224</v>
      </c>
      <c r="C89" s="3" t="s">
        <v>245</v>
      </c>
      <c r="D89" s="3" t="s">
        <v>31</v>
      </c>
      <c r="E89" s="6" t="s">
        <v>74</v>
      </c>
      <c r="F89" s="7" t="s">
        <v>18</v>
      </c>
      <c r="G89" s="8" t="s">
        <v>246</v>
      </c>
      <c r="H89" s="9" t="s">
        <v>18</v>
      </c>
      <c r="I89" s="9" t="s">
        <v>18</v>
      </c>
      <c r="J89" s="6" t="str">
        <f t="shared" si="0"/>
        <v>Complete</v>
      </c>
    </row>
    <row r="90" spans="1:10" ht="14.25" customHeight="1">
      <c r="A90" s="6">
        <v>80</v>
      </c>
      <c r="B90" s="3" t="s">
        <v>247</v>
      </c>
      <c r="C90" s="3" t="s">
        <v>248</v>
      </c>
      <c r="D90" s="3" t="s">
        <v>31</v>
      </c>
      <c r="E90" s="6" t="s">
        <v>74</v>
      </c>
      <c r="F90" s="7" t="s">
        <v>18</v>
      </c>
      <c r="G90" s="8" t="s">
        <v>249</v>
      </c>
      <c r="H90" s="9" t="s">
        <v>18</v>
      </c>
      <c r="I90" s="9" t="s">
        <v>18</v>
      </c>
      <c r="J90" s="6" t="str">
        <f t="shared" si="0"/>
        <v>Complete</v>
      </c>
    </row>
    <row r="91" spans="1:10" ht="14.25" customHeight="1">
      <c r="A91" s="6">
        <v>81</v>
      </c>
      <c r="B91" s="3" t="s">
        <v>247</v>
      </c>
      <c r="C91" s="3" t="s">
        <v>250</v>
      </c>
      <c r="D91" s="3" t="s">
        <v>31</v>
      </c>
      <c r="E91" s="6" t="s">
        <v>74</v>
      </c>
      <c r="F91" s="7" t="s">
        <v>18</v>
      </c>
      <c r="G91" s="8" t="s">
        <v>251</v>
      </c>
      <c r="H91" s="9" t="s">
        <v>18</v>
      </c>
      <c r="I91" s="9" t="s">
        <v>18</v>
      </c>
      <c r="J91" s="6" t="str">
        <f t="shared" si="0"/>
        <v>Complete</v>
      </c>
    </row>
    <row r="92" spans="1:10" ht="14.25" customHeight="1">
      <c r="A92" s="6">
        <v>82</v>
      </c>
      <c r="B92" s="3" t="s">
        <v>247</v>
      </c>
      <c r="C92" s="3" t="s">
        <v>252</v>
      </c>
      <c r="D92" s="3" t="s">
        <v>31</v>
      </c>
      <c r="E92" s="6" t="s">
        <v>74</v>
      </c>
      <c r="F92" s="7" t="s">
        <v>18</v>
      </c>
      <c r="G92" s="8" t="s">
        <v>253</v>
      </c>
      <c r="H92" s="9" t="s">
        <v>18</v>
      </c>
      <c r="I92" s="9" t="s">
        <v>18</v>
      </c>
      <c r="J92" s="6" t="str">
        <f t="shared" si="0"/>
        <v>Complete</v>
      </c>
    </row>
    <row r="93" spans="1:10" ht="14.25" customHeight="1">
      <c r="A93" s="6">
        <v>83</v>
      </c>
      <c r="B93" s="3" t="s">
        <v>247</v>
      </c>
      <c r="C93" s="3" t="s">
        <v>254</v>
      </c>
      <c r="D93" s="3" t="s">
        <v>31</v>
      </c>
      <c r="E93" s="6" t="s">
        <v>74</v>
      </c>
      <c r="F93" s="7" t="s">
        <v>18</v>
      </c>
      <c r="G93" s="8" t="s">
        <v>255</v>
      </c>
      <c r="H93" s="9" t="s">
        <v>18</v>
      </c>
      <c r="I93" s="9" t="s">
        <v>18</v>
      </c>
      <c r="J93" s="6" t="str">
        <f t="shared" si="0"/>
        <v>Complete</v>
      </c>
    </row>
    <row r="94" spans="1:10" ht="14.25" customHeight="1">
      <c r="A94" s="6">
        <v>84</v>
      </c>
      <c r="B94" s="3" t="s">
        <v>256</v>
      </c>
      <c r="C94" s="3" t="s">
        <v>257</v>
      </c>
      <c r="D94" s="3" t="s">
        <v>31</v>
      </c>
      <c r="E94" s="6" t="s">
        <v>74</v>
      </c>
      <c r="F94" s="7" t="s">
        <v>18</v>
      </c>
      <c r="G94" s="8" t="s">
        <v>258</v>
      </c>
      <c r="H94" s="9" t="s">
        <v>18</v>
      </c>
      <c r="I94" s="9" t="s">
        <v>18</v>
      </c>
      <c r="J94" s="6" t="str">
        <f t="shared" si="0"/>
        <v>Complete</v>
      </c>
    </row>
    <row r="95" spans="1:10" ht="14.25" customHeight="1">
      <c r="A95" s="6">
        <v>85</v>
      </c>
      <c r="B95" s="3" t="s">
        <v>256</v>
      </c>
      <c r="C95" s="3" t="s">
        <v>259</v>
      </c>
      <c r="D95" s="3" t="s">
        <v>31</v>
      </c>
      <c r="E95" s="6" t="s">
        <v>74</v>
      </c>
      <c r="F95" s="7" t="s">
        <v>18</v>
      </c>
      <c r="G95" s="8" t="s">
        <v>260</v>
      </c>
      <c r="H95" s="9" t="s">
        <v>18</v>
      </c>
      <c r="I95" s="9" t="s">
        <v>18</v>
      </c>
      <c r="J95" s="6" t="str">
        <f t="shared" si="0"/>
        <v>Complete</v>
      </c>
    </row>
    <row r="96" spans="1:10" ht="14.25" customHeight="1">
      <c r="A96" s="6">
        <v>86</v>
      </c>
      <c r="B96" s="3" t="s">
        <v>256</v>
      </c>
      <c r="C96" s="3" t="s">
        <v>261</v>
      </c>
      <c r="D96" s="3" t="s">
        <v>34</v>
      </c>
      <c r="E96" s="6" t="s">
        <v>74</v>
      </c>
      <c r="F96" s="7" t="s">
        <v>18</v>
      </c>
      <c r="G96" s="8" t="s">
        <v>18</v>
      </c>
      <c r="H96" s="9" t="s">
        <v>18</v>
      </c>
      <c r="I96" s="9" t="s">
        <v>18</v>
      </c>
      <c r="J96" s="6" t="str">
        <f t="shared" si="0"/>
        <v>Incomplete</v>
      </c>
    </row>
    <row r="97" spans="1:10" ht="14.25" customHeight="1">
      <c r="A97" s="6">
        <v>87</v>
      </c>
      <c r="B97" s="3" t="s">
        <v>256</v>
      </c>
      <c r="C97" s="3" t="s">
        <v>262</v>
      </c>
      <c r="D97" s="3" t="s">
        <v>40</v>
      </c>
      <c r="E97" s="6" t="s">
        <v>74</v>
      </c>
      <c r="F97" s="7" t="s">
        <v>18</v>
      </c>
      <c r="G97" s="8" t="s">
        <v>263</v>
      </c>
      <c r="H97" s="9" t="s">
        <v>18</v>
      </c>
      <c r="I97" s="9" t="s">
        <v>18</v>
      </c>
      <c r="J97" s="6" t="str">
        <f t="shared" si="0"/>
        <v>Incomplete</v>
      </c>
    </row>
    <row r="98" spans="1:10" ht="14.25" customHeight="1">
      <c r="A98" s="6">
        <v>88</v>
      </c>
      <c r="B98" s="3" t="s">
        <v>256</v>
      </c>
      <c r="C98" s="3" t="s">
        <v>264</v>
      </c>
      <c r="D98" s="3" t="s">
        <v>31</v>
      </c>
      <c r="E98" s="6" t="s">
        <v>74</v>
      </c>
      <c r="F98" s="7" t="s">
        <v>18</v>
      </c>
      <c r="G98" s="8" t="s">
        <v>265</v>
      </c>
      <c r="H98" s="9" t="s">
        <v>18</v>
      </c>
      <c r="I98" s="9" t="s">
        <v>18</v>
      </c>
      <c r="J98" s="6" t="str">
        <f t="shared" si="0"/>
        <v>Complete</v>
      </c>
    </row>
    <row r="99" spans="1:10" ht="14.25" customHeight="1">
      <c r="A99" s="6">
        <v>89</v>
      </c>
      <c r="B99" s="3" t="s">
        <v>266</v>
      </c>
      <c r="C99" s="3" t="s">
        <v>267</v>
      </c>
      <c r="D99" s="3" t="s">
        <v>31</v>
      </c>
      <c r="E99" s="6" t="s">
        <v>74</v>
      </c>
      <c r="F99" s="7" t="s">
        <v>18</v>
      </c>
      <c r="G99" s="8" t="s">
        <v>268</v>
      </c>
      <c r="H99" s="9" t="s">
        <v>18</v>
      </c>
      <c r="I99" s="9" t="s">
        <v>18</v>
      </c>
      <c r="J99" s="6" t="str">
        <f t="shared" si="0"/>
        <v>Complete</v>
      </c>
    </row>
    <row r="100" spans="1:10" ht="14.25" customHeight="1">
      <c r="A100" s="6">
        <v>90</v>
      </c>
      <c r="B100" s="3" t="s">
        <v>266</v>
      </c>
      <c r="C100" s="3" t="s">
        <v>269</v>
      </c>
      <c r="D100" s="3" t="s">
        <v>31</v>
      </c>
      <c r="E100" s="6" t="s">
        <v>74</v>
      </c>
      <c r="F100" s="7" t="s">
        <v>18</v>
      </c>
      <c r="G100" s="8" t="s">
        <v>270</v>
      </c>
      <c r="H100" s="9" t="s">
        <v>18</v>
      </c>
      <c r="I100" s="9" t="s">
        <v>18</v>
      </c>
      <c r="J100" s="6" t="str">
        <f t="shared" si="0"/>
        <v>Complete</v>
      </c>
    </row>
    <row r="101" spans="1:10" ht="14.25" customHeight="1">
      <c r="A101" s="6">
        <v>91</v>
      </c>
      <c r="B101" s="3" t="s">
        <v>266</v>
      </c>
      <c r="C101" s="3" t="s">
        <v>271</v>
      </c>
      <c r="D101" s="3" t="s">
        <v>31</v>
      </c>
      <c r="E101" s="6" t="s">
        <v>74</v>
      </c>
      <c r="F101" s="7" t="s">
        <v>18</v>
      </c>
      <c r="G101" s="8" t="s">
        <v>272</v>
      </c>
      <c r="H101" s="9" t="s">
        <v>18</v>
      </c>
      <c r="I101" s="9" t="s">
        <v>18</v>
      </c>
      <c r="J101" s="6" t="str">
        <f t="shared" si="0"/>
        <v>Complete</v>
      </c>
    </row>
    <row r="102" spans="1:10" ht="14.25" customHeight="1">
      <c r="A102" s="6">
        <v>92</v>
      </c>
      <c r="B102" s="3" t="s">
        <v>266</v>
      </c>
      <c r="C102" s="3" t="s">
        <v>273</v>
      </c>
      <c r="D102" s="3" t="s">
        <v>31</v>
      </c>
      <c r="E102" s="6" t="s">
        <v>74</v>
      </c>
      <c r="F102" s="7" t="s">
        <v>18</v>
      </c>
      <c r="G102" s="8" t="s">
        <v>274</v>
      </c>
      <c r="H102" s="9" t="s">
        <v>18</v>
      </c>
      <c r="I102" s="9" t="s">
        <v>18</v>
      </c>
      <c r="J102" s="6" t="str">
        <f t="shared" si="0"/>
        <v>Complete</v>
      </c>
    </row>
    <row r="103" spans="1:10" ht="14.25" customHeight="1">
      <c r="A103" s="6">
        <v>93</v>
      </c>
      <c r="B103" s="3" t="s">
        <v>266</v>
      </c>
      <c r="C103" s="3" t="s">
        <v>275</v>
      </c>
      <c r="D103" s="3" t="s">
        <v>31</v>
      </c>
      <c r="E103" s="6" t="s">
        <v>74</v>
      </c>
      <c r="F103" s="7" t="s">
        <v>18</v>
      </c>
      <c r="G103" s="8" t="s">
        <v>276</v>
      </c>
      <c r="H103" s="9" t="s">
        <v>18</v>
      </c>
      <c r="I103" s="9" t="s">
        <v>18</v>
      </c>
      <c r="J103" s="6" t="str">
        <f t="shared" si="0"/>
        <v>Complete</v>
      </c>
    </row>
    <row r="104" spans="1:10" ht="14.25" customHeight="1">
      <c r="A104" s="6">
        <v>94</v>
      </c>
      <c r="B104" s="3" t="s">
        <v>266</v>
      </c>
      <c r="C104" s="3" t="s">
        <v>277</v>
      </c>
      <c r="D104" s="3" t="s">
        <v>31</v>
      </c>
      <c r="E104" s="6" t="s">
        <v>74</v>
      </c>
      <c r="F104" s="7" t="s">
        <v>18</v>
      </c>
      <c r="G104" s="8" t="s">
        <v>278</v>
      </c>
      <c r="H104" s="9" t="s">
        <v>18</v>
      </c>
      <c r="I104" s="9" t="s">
        <v>18</v>
      </c>
      <c r="J104" s="6" t="str">
        <f t="shared" si="0"/>
        <v>Complete</v>
      </c>
    </row>
    <row r="105" spans="1:10" ht="14.25" customHeight="1">
      <c r="A105" s="6">
        <v>95</v>
      </c>
      <c r="B105" s="3" t="s">
        <v>266</v>
      </c>
      <c r="C105" s="3" t="s">
        <v>279</v>
      </c>
      <c r="D105" s="3" t="s">
        <v>31</v>
      </c>
      <c r="E105" s="6" t="s">
        <v>74</v>
      </c>
      <c r="F105" s="7" t="s">
        <v>18</v>
      </c>
      <c r="G105" s="8" t="s">
        <v>280</v>
      </c>
      <c r="H105" s="9" t="s">
        <v>18</v>
      </c>
      <c r="I105" s="9" t="s">
        <v>18</v>
      </c>
      <c r="J105" s="6" t="str">
        <f t="shared" si="0"/>
        <v>Complete</v>
      </c>
    </row>
    <row r="106" spans="1:10" ht="14.25" customHeight="1">
      <c r="A106" s="6">
        <v>96</v>
      </c>
      <c r="B106" s="3" t="s">
        <v>266</v>
      </c>
      <c r="C106" s="3" t="s">
        <v>281</v>
      </c>
      <c r="D106" s="3" t="s">
        <v>31</v>
      </c>
      <c r="E106" s="6" t="s">
        <v>74</v>
      </c>
      <c r="F106" s="7" t="s">
        <v>18</v>
      </c>
      <c r="G106" s="8" t="s">
        <v>282</v>
      </c>
      <c r="H106" s="9" t="s">
        <v>18</v>
      </c>
      <c r="I106" s="9" t="s">
        <v>18</v>
      </c>
      <c r="J106" s="6" t="str">
        <f t="shared" si="0"/>
        <v>Complete</v>
      </c>
    </row>
    <row r="107" spans="1:10" ht="14.25" customHeight="1">
      <c r="A107" s="6">
        <v>97</v>
      </c>
      <c r="B107" s="3" t="s">
        <v>266</v>
      </c>
      <c r="C107" s="3" t="s">
        <v>283</v>
      </c>
      <c r="D107" s="3" t="s">
        <v>40</v>
      </c>
      <c r="E107" s="6" t="s">
        <v>74</v>
      </c>
      <c r="F107" s="7" t="s">
        <v>18</v>
      </c>
      <c r="G107" s="8" t="s">
        <v>284</v>
      </c>
      <c r="H107" s="9" t="s">
        <v>18</v>
      </c>
      <c r="I107" s="9" t="s">
        <v>18</v>
      </c>
      <c r="J107" s="6" t="str">
        <f t="shared" si="0"/>
        <v>Incomplete</v>
      </c>
    </row>
    <row r="108" spans="1:10" ht="14.25" customHeight="1">
      <c r="A108" s="6">
        <v>98</v>
      </c>
      <c r="B108" s="3" t="s">
        <v>285</v>
      </c>
      <c r="C108" s="3" t="s">
        <v>286</v>
      </c>
      <c r="D108" s="3" t="s">
        <v>51</v>
      </c>
      <c r="E108" s="6" t="s">
        <v>74</v>
      </c>
      <c r="F108" s="7" t="s">
        <v>18</v>
      </c>
      <c r="G108" s="8" t="s">
        <v>287</v>
      </c>
      <c r="H108" s="9" t="s">
        <v>18</v>
      </c>
      <c r="I108" s="9" t="s">
        <v>18</v>
      </c>
      <c r="J108" s="6" t="str">
        <f t="shared" si="0"/>
        <v>Incomplete</v>
      </c>
    </row>
    <row r="109" spans="1:10" ht="14.25" customHeight="1">
      <c r="A109" s="6">
        <v>99</v>
      </c>
      <c r="B109" s="3" t="s">
        <v>285</v>
      </c>
      <c r="C109" s="3" t="s">
        <v>288</v>
      </c>
      <c r="D109" s="3" t="s">
        <v>51</v>
      </c>
      <c r="E109" s="6" t="s">
        <v>74</v>
      </c>
      <c r="F109" s="7" t="s">
        <v>18</v>
      </c>
      <c r="G109" s="8" t="s">
        <v>289</v>
      </c>
      <c r="H109" s="9" t="s">
        <v>18</v>
      </c>
      <c r="I109" s="9" t="s">
        <v>18</v>
      </c>
      <c r="J109" s="6" t="str">
        <f t="shared" si="0"/>
        <v>Incomplete</v>
      </c>
    </row>
    <row r="110" spans="1:10" ht="14.25" customHeight="1">
      <c r="A110" s="6">
        <v>100</v>
      </c>
      <c r="B110" s="3" t="s">
        <v>285</v>
      </c>
      <c r="C110" s="3" t="s">
        <v>290</v>
      </c>
      <c r="D110" s="3" t="s">
        <v>51</v>
      </c>
      <c r="E110" s="6" t="s">
        <v>74</v>
      </c>
      <c r="F110" s="7" t="s">
        <v>18</v>
      </c>
      <c r="G110" s="8" t="s">
        <v>291</v>
      </c>
      <c r="H110" s="9" t="s">
        <v>18</v>
      </c>
      <c r="I110" s="9" t="s">
        <v>18</v>
      </c>
      <c r="J110" s="6" t="str">
        <f t="shared" si="0"/>
        <v>Incomplete</v>
      </c>
    </row>
    <row r="111" spans="1:10" ht="14.25" customHeight="1">
      <c r="A111" s="6">
        <v>101</v>
      </c>
      <c r="B111" s="3" t="s">
        <v>285</v>
      </c>
      <c r="C111" s="3" t="s">
        <v>292</v>
      </c>
      <c r="D111" s="3" t="s">
        <v>51</v>
      </c>
      <c r="E111" s="6" t="s">
        <v>74</v>
      </c>
      <c r="F111" s="7" t="s">
        <v>18</v>
      </c>
      <c r="G111" s="8" t="s">
        <v>293</v>
      </c>
      <c r="H111" s="9" t="s">
        <v>18</v>
      </c>
      <c r="I111" s="9" t="s">
        <v>18</v>
      </c>
      <c r="J111" s="6" t="str">
        <f t="shared" si="0"/>
        <v>Incomplete</v>
      </c>
    </row>
    <row r="112" spans="1:10" ht="14.25" customHeight="1">
      <c r="A112" s="6">
        <v>102</v>
      </c>
      <c r="B112" s="3" t="s">
        <v>285</v>
      </c>
      <c r="C112" s="3" t="s">
        <v>294</v>
      </c>
      <c r="D112" s="3" t="s">
        <v>51</v>
      </c>
      <c r="E112" s="6" t="s">
        <v>74</v>
      </c>
      <c r="F112" s="7" t="s">
        <v>18</v>
      </c>
      <c r="G112" s="8" t="s">
        <v>295</v>
      </c>
      <c r="H112" s="9" t="s">
        <v>18</v>
      </c>
      <c r="I112" s="9" t="s">
        <v>18</v>
      </c>
      <c r="J112" s="6" t="str">
        <f t="shared" si="0"/>
        <v>Incomplete</v>
      </c>
    </row>
    <row r="113" spans="1:10" ht="14.25" customHeight="1">
      <c r="A113" s="6">
        <v>103</v>
      </c>
      <c r="B113" s="3" t="s">
        <v>285</v>
      </c>
      <c r="C113" s="3" t="s">
        <v>296</v>
      </c>
      <c r="D113" s="3" t="s">
        <v>46</v>
      </c>
      <c r="E113" s="6" t="s">
        <v>74</v>
      </c>
      <c r="F113" s="7" t="s">
        <v>18</v>
      </c>
      <c r="G113" s="8" t="s">
        <v>297</v>
      </c>
      <c r="H113" s="9" t="s">
        <v>18</v>
      </c>
      <c r="I113" s="9" t="s">
        <v>18</v>
      </c>
      <c r="J113" s="6" t="str">
        <f t="shared" si="0"/>
        <v>Incomplete</v>
      </c>
    </row>
    <row r="114" spans="1:10" ht="14.25" customHeight="1">
      <c r="A114" s="6">
        <v>104</v>
      </c>
      <c r="B114" s="3" t="s">
        <v>298</v>
      </c>
      <c r="C114" s="3" t="s">
        <v>299</v>
      </c>
      <c r="D114" s="3" t="s">
        <v>31</v>
      </c>
      <c r="E114" s="6" t="s">
        <v>74</v>
      </c>
      <c r="F114" s="7" t="s">
        <v>18</v>
      </c>
      <c r="G114" s="8" t="s">
        <v>300</v>
      </c>
      <c r="H114" s="9" t="s">
        <v>18</v>
      </c>
      <c r="I114" s="9" t="s">
        <v>18</v>
      </c>
      <c r="J114" s="6" t="str">
        <f t="shared" si="0"/>
        <v>Complete</v>
      </c>
    </row>
    <row r="115" spans="1:10" ht="14.25" customHeight="1">
      <c r="A115" s="6">
        <v>105</v>
      </c>
      <c r="B115" s="3" t="s">
        <v>298</v>
      </c>
      <c r="C115" s="3" t="s">
        <v>301</v>
      </c>
      <c r="D115" s="3" t="s">
        <v>31</v>
      </c>
      <c r="E115" s="6" t="s">
        <v>74</v>
      </c>
      <c r="F115" s="7" t="s">
        <v>18</v>
      </c>
      <c r="G115" s="8" t="s">
        <v>302</v>
      </c>
      <c r="H115" s="9" t="s">
        <v>18</v>
      </c>
      <c r="I115" s="9" t="s">
        <v>18</v>
      </c>
      <c r="J115" s="6" t="str">
        <f t="shared" si="0"/>
        <v>Complete</v>
      </c>
    </row>
    <row r="116" spans="1:10" ht="14.25" customHeight="1">
      <c r="A116" s="6">
        <v>106</v>
      </c>
      <c r="B116" s="3" t="s">
        <v>298</v>
      </c>
      <c r="C116" s="3" t="s">
        <v>303</v>
      </c>
      <c r="D116" s="3" t="s">
        <v>31</v>
      </c>
      <c r="E116" s="6" t="s">
        <v>74</v>
      </c>
      <c r="F116" s="7" t="s">
        <v>18</v>
      </c>
      <c r="G116" s="8" t="s">
        <v>304</v>
      </c>
      <c r="H116" s="9" t="s">
        <v>18</v>
      </c>
      <c r="I116" s="9" t="s">
        <v>18</v>
      </c>
      <c r="J116" s="6" t="str">
        <f t="shared" si="0"/>
        <v>Complete</v>
      </c>
    </row>
    <row r="117" spans="1:10" ht="14.25" customHeight="1">
      <c r="A117" s="6">
        <v>107</v>
      </c>
      <c r="B117" s="3" t="s">
        <v>298</v>
      </c>
      <c r="C117" s="3" t="s">
        <v>305</v>
      </c>
      <c r="D117" s="3" t="s">
        <v>40</v>
      </c>
      <c r="E117" s="6" t="s">
        <v>74</v>
      </c>
      <c r="F117" s="7" t="s">
        <v>18</v>
      </c>
      <c r="G117" s="8" t="s">
        <v>306</v>
      </c>
      <c r="H117" s="9" t="s">
        <v>18</v>
      </c>
      <c r="I117" s="9" t="s">
        <v>18</v>
      </c>
      <c r="J117" s="6" t="str">
        <f t="shared" si="0"/>
        <v>Incomplete</v>
      </c>
    </row>
    <row r="118" spans="1:10" ht="14.25" customHeight="1">
      <c r="A118" s="6">
        <v>108</v>
      </c>
      <c r="B118" s="3" t="s">
        <v>298</v>
      </c>
      <c r="C118" s="3" t="s">
        <v>307</v>
      </c>
      <c r="D118" s="3" t="s">
        <v>31</v>
      </c>
      <c r="E118" s="6" t="s">
        <v>74</v>
      </c>
      <c r="F118" s="7" t="s">
        <v>18</v>
      </c>
      <c r="G118" s="8" t="s">
        <v>308</v>
      </c>
      <c r="H118" s="9" t="s">
        <v>18</v>
      </c>
      <c r="I118" s="9" t="s">
        <v>18</v>
      </c>
      <c r="J118" s="6" t="str">
        <f t="shared" si="0"/>
        <v>Complete</v>
      </c>
    </row>
    <row r="119" spans="1:10" ht="14.25" customHeight="1"/>
    <row r="120" spans="1:10" ht="14.25" customHeight="1"/>
    <row r="121" spans="1:10" ht="14.25" customHeight="1"/>
    <row r="122" spans="1:10" ht="14.25" customHeight="1"/>
    <row r="123" spans="1:10" ht="14.25" customHeight="1"/>
    <row r="124" spans="1:10" ht="14.25" customHeight="1"/>
    <row r="125" spans="1:10" ht="14.25" customHeight="1"/>
    <row r="126" spans="1:10" ht="14.25" customHeight="1"/>
    <row r="127" spans="1:10" ht="14.25" customHeight="1"/>
    <row r="128" spans="1:10"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J1"/>
    <mergeCell ref="A2:J2"/>
    <mergeCell ref="A4:D4"/>
  </mergeCells>
  <conditionalFormatting sqref="F11:F118">
    <cfRule type="expression" dxfId="4" priority="1">
      <formula>AND(ISNUMBER(SEARCH("Yes/No",$D11)),$F11="")</formula>
    </cfRule>
  </conditionalFormatting>
  <conditionalFormatting sqref="G11:G118">
    <cfRule type="expression" dxfId="3" priority="2">
      <formula>AND($E11="Yes",$G11="")</formula>
    </cfRule>
  </conditionalFormatting>
  <conditionalFormatting sqref="H11:H118">
    <cfRule type="expression" dxfId="2" priority="3">
      <formula>AND(OR(ISNUMBER(SEARCH("Attachment",$D11)),ISNUMBER(SEARCH("Gantt",$D11)),ISNUMBER(SEARCH("Metrics",$D11)),ISNUMBER(SEARCH("Sample Reports",$D11))),$H11="")</formula>
    </cfRule>
  </conditionalFormatting>
  <conditionalFormatting sqref="J11:J118">
    <cfRule type="expression" dxfId="1" priority="4">
      <formula>$J11="Complete"</formula>
    </cfRule>
  </conditionalFormatting>
  <conditionalFormatting sqref="J11:J118">
    <cfRule type="expression" dxfId="0" priority="5">
      <formula>$J11="Incomplete"</formula>
    </cfRule>
  </conditionalFormatting>
  <pageMargins left="0.7" right="0.7" top="0.75" bottom="0.75" header="0" footer="0"/>
  <pageSetup fitToHeight="0" orientation="portrait"/>
  <headerFooter>
    <oddHeader>&amp;L000000 Confidential#_x000D_</oddHeader>
  </headerFooter>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0EE32BB6DC8E44A4FDB7FCD1B6EAD6" ma:contentTypeVersion="20" ma:contentTypeDescription="Create a new document." ma:contentTypeScope="" ma:versionID="04358f78ff75bc7e53c70a3e3e055f23">
  <xsd:schema xmlns:xsd="http://www.w3.org/2001/XMLSchema" xmlns:xs="http://www.w3.org/2001/XMLSchema" xmlns:p="http://schemas.microsoft.com/office/2006/metadata/properties" xmlns:ns2="c93d0f0f-3cc9-4425-a3ca-a970db1fbb2c" xmlns:ns3="2e68cf6c-51ba-4f32-8108-1b311084bf44" targetNamespace="http://schemas.microsoft.com/office/2006/metadata/properties" ma:root="true" ma:fieldsID="844952f87baa3e6739283f540e041ad0" ns2:_="" ns3:_="">
    <xsd:import namespace="c93d0f0f-3cc9-4425-a3ca-a970db1fbb2c"/>
    <xsd:import namespace="2e68cf6c-51ba-4f32-8108-1b311084bf4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ObjectDetectorVersions" minOccurs="0"/>
                <xsd:element ref="ns2:MediaServiceSearchProperties" minOccurs="0"/>
                <xsd:element ref="ns2:MediaServiceBillingMetadata" minOccurs="0"/>
                <xsd:element ref="ns2:MediaServiceLocation" minOccurs="0"/>
                <xsd:element ref="ns2:CopiedFro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3d0f0f-3cc9-4425-a3ca-a970db1fbb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7bde53e-b0a2-4e98-8550-8a152603f3a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CopiedFrom" ma:index="26" nillable="true" ma:displayName="Copied From" ma:description="Where the folder was originally copied from (ex: SF or D&amp;A)" ma:format="Dropdown" ma:internalName="CopiedFrom">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e68cf6c-51ba-4f32-8108-1b311084bf4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ee5ec7c1-feff-4c49-9161-61b386a4c22d}" ma:internalName="TaxCatchAll" ma:showField="CatchAllData" ma:web="2e68cf6c-51ba-4f32-8108-1b311084bf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piedFrom xmlns="c93d0f0f-3cc9-4425-a3ca-a970db1fbb2c" xsi:nil="true"/>
    <TaxCatchAll xmlns="2e68cf6c-51ba-4f32-8108-1b311084bf44" xsi:nil="true"/>
    <lcf76f155ced4ddcb4097134ff3c332f xmlns="c93d0f0f-3cc9-4425-a3ca-a970db1fbb2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47766D-11A0-46AF-AA5B-9BA1B0E31372}"/>
</file>

<file path=customXml/itemProps2.xml><?xml version="1.0" encoding="utf-8"?>
<ds:datastoreItem xmlns:ds="http://schemas.openxmlformats.org/officeDocument/2006/customXml" ds:itemID="{C8B620DC-56E6-4C58-BDFB-583BB262F578}"/>
</file>

<file path=customXml/itemProps3.xml><?xml version="1.0" encoding="utf-8"?>
<ds:datastoreItem xmlns:ds="http://schemas.openxmlformats.org/officeDocument/2006/customXml" ds:itemID="{0BBD1760-C85C-4E40-B212-259414AAA22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Usha Rani J (US)</cp:lastModifiedBy>
  <cp:revision/>
  <dcterms:created xsi:type="dcterms:W3CDTF">2026-03-30T09:57:37Z</dcterms:created>
  <dcterms:modified xsi:type="dcterms:W3CDTF">2026-03-30T09:57:37Z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0f90fca-59d9-4aac-bcc2-47e1f4ce48b8_Enabled">
    <vt:lpwstr>true</vt:lpwstr>
  </property>
  <property fmtid="{D5CDD505-2E9C-101B-9397-08002B2CF9AE}" pid="3" name="MSIP_Label_e0f90fca-59d9-4aac-bcc2-47e1f4ce48b8_SetDate">
    <vt:lpwstr>2026-02-26T21:42:38Z</vt:lpwstr>
  </property>
  <property fmtid="{D5CDD505-2E9C-101B-9397-08002B2CF9AE}" pid="4" name="MSIP_Label_e0f90fca-59d9-4aac-bcc2-47e1f4ce48b8_Method">
    <vt:lpwstr>Standard</vt:lpwstr>
  </property>
  <property fmtid="{D5CDD505-2E9C-101B-9397-08002B2CF9AE}" pid="5" name="MSIP_Label_e0f90fca-59d9-4aac-bcc2-47e1f4ce48b8_Name">
    <vt:lpwstr>US Confidential</vt:lpwstr>
  </property>
  <property fmtid="{D5CDD505-2E9C-101B-9397-08002B2CF9AE}" pid="6" name="MSIP_Label_e0f90fca-59d9-4aac-bcc2-47e1f4ce48b8_SiteId">
    <vt:lpwstr>35595a02-4d6d-44ac-99e1-f9ab4cd872db</vt:lpwstr>
  </property>
  <property fmtid="{D5CDD505-2E9C-101B-9397-08002B2CF9AE}" pid="7" name="MSIP_Label_e0f90fca-59d9-4aac-bcc2-47e1f4ce48b8_ActionId">
    <vt:lpwstr>7a34c769-c8ae-4dfa-b7dc-b2ebe878bf15</vt:lpwstr>
  </property>
  <property fmtid="{D5CDD505-2E9C-101B-9397-08002B2CF9AE}" pid="8" name="MSIP_Label_e0f90fca-59d9-4aac-bcc2-47e1f4ce48b8_ContentBits">
    <vt:lpwstr>1</vt:lpwstr>
  </property>
  <property fmtid="{D5CDD505-2E9C-101B-9397-08002B2CF9AE}" pid="9" name="MSIP_Label_e0f90fca-59d9-4aac-bcc2-47e1f4ce48b8_Tag">
    <vt:lpwstr>10, 3, 0, 1</vt:lpwstr>
  </property>
  <property fmtid="{D5CDD505-2E9C-101B-9397-08002B2CF9AE}" pid="10" name="ContentTypeId">
    <vt:lpwstr>0x0101008E0EE32BB6DC8E44A4FDB7FCD1B6EAD6</vt:lpwstr>
  </property>
  <property fmtid="{D5CDD505-2E9C-101B-9397-08002B2CF9AE}" pid="11" name="MediaServiceImageTags">
    <vt:lpwstr/>
  </property>
</Properties>
</file>